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號清冊" sheetId="1" state="visible" r:id="rId1"/>
  </sheets>
  <definedNames>
    <definedName name="_xlnm.Print_Area" localSheetId="0">'地號清冊'!$A$1:$BF$11</definedName>
    <definedName name="_xlnm.Print_Titles" localSheetId="0">'地號清冊'!$1:$4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sz val="10"/>
    </font>
    <font>
      <name val="Microsoft JhengHei"/>
      <b val="1"/>
      <sz val="11"/>
    </font>
    <font>
      <name val="Microsoft JhengHei"/>
      <color rgb="005D6762"/>
      <sz val="9"/>
    </font>
    <font>
      <name val="Microsoft JhengHei"/>
      <sz val="10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E3EEE9"/>
      </patternFill>
    </fill>
    <fill>
      <patternFill patternType="solid">
        <fgColor rgb="00EAF0F7"/>
      </patternFill>
    </fill>
    <fill>
      <patternFill patternType="solid">
        <fgColor rgb="00F6EFE3"/>
      </patternFill>
    </fill>
  </fills>
  <borders count="11">
    <border>
      <left/>
      <right/>
      <top/>
      <bottom/>
      <diagonal/>
    </border>
    <border>
      <left style="thin">
        <color rgb="009AA5A0"/>
      </left>
      <right style="thin">
        <color rgb="009AA5A0"/>
      </right>
      <top style="thin">
        <color rgb="009AA5A0"/>
      </top>
      <bottom style="thin">
        <color rgb="009AA5A0"/>
      </bottom>
    </border>
    <border>
      <left style="thin">
        <color rgb="009AA5A0"/>
      </left>
      <right style="thin">
        <color rgb="009AA5A0"/>
      </right>
      <top style="thin">
        <color rgb="009AA5A0"/>
      </top>
      <bottom style="medium">
        <color rgb="002F5D50"/>
      </bottom>
    </border>
    <border>
      <left/>
      <right/>
      <top style="thin">
        <color rgb="009AA5A0"/>
      </top>
      <bottom/>
      <diagonal/>
    </border>
    <border>
      <left/>
      <right style="thin">
        <color rgb="009AA5A0"/>
      </right>
      <top style="thin">
        <color rgb="009AA5A0"/>
      </top>
      <bottom/>
      <diagonal/>
    </border>
    <border>
      <left/>
      <right/>
      <top style="thin">
        <color rgb="009AA5A0"/>
      </top>
      <bottom style="thin">
        <color rgb="009AA5A0"/>
      </bottom>
      <diagonal/>
    </border>
    <border>
      <left/>
      <right style="thin">
        <color rgb="009AA5A0"/>
      </right>
      <top style="thin">
        <color rgb="009AA5A0"/>
      </top>
      <bottom style="thin">
        <color rgb="009AA5A0"/>
      </bottom>
      <diagonal/>
    </border>
    <border>
      <left style="thin">
        <color rgb="009AA5A0"/>
      </left>
      <right/>
      <top/>
      <bottom/>
      <diagonal/>
    </border>
    <border>
      <left style="thin">
        <color rgb="009AA5A0"/>
      </left>
      <right style="thin">
        <color rgb="009AA5A0"/>
      </right>
      <top/>
      <bottom/>
      <diagonal/>
    </border>
    <border>
      <left style="thin">
        <color rgb="009AA5A0"/>
      </left>
      <right style="thin">
        <color rgb="009AA5A0"/>
      </right>
      <top/>
      <bottom style="thin">
        <color rgb="009AA5A0"/>
      </bottom>
      <diagonal/>
    </border>
    <border>
      <left style="thin">
        <color rgb="009AA5A0"/>
      </left>
      <right style="thin">
        <color rgb="009AA5A0"/>
      </right>
      <top style="medium">
        <color rgb="002F5D50"/>
      </top>
      <bottom style="thin">
        <color rgb="009AA5A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9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4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/>
    </xf>
    <xf numFmtId="1" fontId="5" fillId="0" borderId="10" applyAlignment="1" pivotButton="0" quotePrefix="0" xfId="0">
      <alignment horizontal="center" vertical="center"/>
    </xf>
    <xf numFmtId="9" fontId="5" fillId="0" borderId="10" applyAlignment="1" pivotButton="0" quotePrefix="0" xfId="0">
      <alignment horizontal="center" vertical="center"/>
    </xf>
    <xf numFmtId="3" fontId="5" fillId="0" borderId="10" applyAlignment="1" pivotButton="0" quotePrefix="0" xfId="0">
      <alignment horizontal="center" vertical="center"/>
    </xf>
    <xf numFmtId="2" fontId="5" fillId="0" borderId="10" applyAlignment="1" pivotButton="0" quotePrefix="0" xfId="0">
      <alignment horizontal="center" vertical="center"/>
    </xf>
    <xf numFmtId="10" fontId="5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11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7" customWidth="1" min="8" max="8"/>
    <col width="2" customWidth="1" min="9" max="9"/>
    <col width="7" customWidth="1" min="10" max="10"/>
    <col width="7" customWidth="1" min="11" max="11"/>
    <col width="9" customWidth="1" min="12" max="12"/>
    <col width="7" customWidth="1" min="13" max="13"/>
    <col width="9" customWidth="1" min="14" max="14"/>
    <col width="10" customWidth="1" min="15" max="15"/>
    <col width="7" customWidth="1" min="16" max="16"/>
    <col width="8" customWidth="1" min="17" max="17"/>
    <col width="8" customWidth="1" min="18" max="18"/>
    <col width="4" customWidth="1" min="19" max="19"/>
    <col width="2" customWidth="1" min="20" max="20"/>
    <col width="4" customWidth="1" min="21" max="21"/>
    <col width="8" customWidth="1" min="22" max="22"/>
    <col width="7" customWidth="1" min="23" max="23"/>
    <col width="4" customWidth="1" min="24" max="24"/>
    <col width="2" customWidth="1" min="25" max="25"/>
    <col width="4" customWidth="1" min="26" max="26"/>
    <col width="7" customWidth="1" min="27" max="27"/>
    <col width="8" customWidth="1" min="28" max="28"/>
    <col width="4" customWidth="1" min="29" max="29"/>
    <col width="2" customWidth="1" min="30" max="30"/>
    <col width="4" customWidth="1" min="31" max="31"/>
    <col width="8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8" customWidth="1" min="40" max="40"/>
    <col width="8" customWidth="1" min="41" max="41"/>
    <col width="6" customWidth="1" min="42" max="42"/>
    <col width="2" customWidth="1" min="43" max="43"/>
    <col width="6" customWidth="1" min="44" max="44"/>
    <col width="8" customWidth="1" min="45" max="45"/>
    <col width="8" customWidth="1" min="46" max="46"/>
    <col width="8" customWidth="1" min="47" max="47"/>
    <col width="6" customWidth="1" min="48" max="48"/>
    <col width="2" customWidth="1" min="49" max="49"/>
    <col width="6" customWidth="1" min="50" max="50"/>
    <col width="8" customWidth="1" min="51" max="51"/>
    <col width="8" customWidth="1" min="52" max="52"/>
    <col width="9" customWidth="1" min="53" max="53"/>
    <col width="6" customWidth="1" min="54" max="54"/>
    <col width="30" customWidth="1" min="55" max="55"/>
    <col width="7" customWidth="1" min="56" max="56"/>
    <col width="9" customWidth="1" min="57" max="57"/>
    <col width="8" customWidth="1" min="58" max="58"/>
  </cols>
  <sheetData>
    <row r="1" ht="26" customHeight="1">
      <c r="A1" s="1" t="inlineStr">
        <is>
          <t>地號清冊</t>
        </is>
      </c>
      <c r="P1" s="2" t="inlineStr">
        <is>
          <t>基準容積率</t>
        </is>
      </c>
      <c r="R1" s="3" t="n"/>
      <c r="S1" s="2" t="inlineStr">
        <is>
          <t>容積獎勵</t>
        </is>
      </c>
      <c r="U1" s="3" t="n"/>
      <c r="X1" s="4" t="inlineStr">
        <is>
          <t>← 黃色格請依案件填入，例如容積率 300% 填 300%、獎勵 80% 填 80%</t>
        </is>
      </c>
    </row>
    <row r="2" ht="22" customHeight="1">
      <c r="A2" s="5" t="inlineStr">
        <is>
          <t>土地標示部</t>
        </is>
      </c>
      <c r="P2" s="6" t="inlineStr">
        <is>
          <t>建物標示部</t>
        </is>
      </c>
      <c r="BD2" s="7" t="inlineStr">
        <is>
          <t>權利價值</t>
        </is>
      </c>
    </row>
    <row r="3" ht="40" customHeight="1">
      <c r="A3" s="8" t="inlineStr">
        <is>
          <t>區域</t>
        </is>
      </c>
      <c r="B3" s="8" t="inlineStr">
        <is>
          <t>地段</t>
        </is>
      </c>
      <c r="C3" s="8" t="inlineStr">
        <is>
          <t>小段</t>
        </is>
      </c>
      <c r="D3" s="8" t="inlineStr">
        <is>
          <t>地號</t>
        </is>
      </c>
      <c r="E3" s="8" t="inlineStr">
        <is>
          <t>面積</t>
        </is>
      </c>
      <c r="F3" s="8" t="inlineStr">
        <is>
          <t>所有權人</t>
        </is>
      </c>
      <c r="G3" s="8" t="inlineStr">
        <is>
          <t>統一編號</t>
        </is>
      </c>
      <c r="H3" s="8" t="inlineStr">
        <is>
          <t>持分</t>
        </is>
      </c>
      <c r="I3" s="9" t="n"/>
      <c r="J3" s="10" t="n"/>
      <c r="K3" s="8" t="inlineStr">
        <is>
          <t>容積率</t>
        </is>
      </c>
      <c r="L3" s="8" t="inlineStr">
        <is>
          <t>持有面積</t>
        </is>
      </c>
      <c r="M3" s="8" t="inlineStr">
        <is>
          <t>獎勵值</t>
        </is>
      </c>
      <c r="N3" s="8" t="inlineStr">
        <is>
          <t>允建容積</t>
        </is>
      </c>
      <c r="O3" s="8" t="inlineStr">
        <is>
          <t>公告現值</t>
        </is>
      </c>
      <c r="P3" s="11" t="inlineStr">
        <is>
          <t>建號</t>
        </is>
      </c>
      <c r="Q3" s="11" t="inlineStr">
        <is>
          <t>總面積</t>
        </is>
      </c>
      <c r="R3" s="11" t="inlineStr">
        <is>
          <t>主建物</t>
        </is>
      </c>
      <c r="S3" s="11" t="inlineStr">
        <is>
          <t>持分</t>
        </is>
      </c>
      <c r="T3" s="9" t="n"/>
      <c r="U3" s="10" t="n"/>
      <c r="V3" s="11" t="inlineStr">
        <is>
          <t>主建物</t>
        </is>
      </c>
      <c r="W3" s="11" t="inlineStr">
        <is>
          <t>騎樓</t>
        </is>
      </c>
      <c r="X3" s="11" t="inlineStr">
        <is>
          <t>持分</t>
        </is>
      </c>
      <c r="Y3" s="9" t="n"/>
      <c r="Z3" s="10" t="n"/>
      <c r="AA3" s="11" t="inlineStr">
        <is>
          <t>騎樓</t>
        </is>
      </c>
      <c r="AB3" s="11" t="inlineStr">
        <is>
          <t>附屬建物</t>
        </is>
      </c>
      <c r="AC3" s="11" t="inlineStr">
        <is>
          <t>持分</t>
        </is>
      </c>
      <c r="AD3" s="9" t="n"/>
      <c r="AE3" s="10" t="n"/>
      <c r="AF3" s="11" t="inlineStr">
        <is>
          <t>附屬建物</t>
        </is>
      </c>
      <c r="AG3" s="11" t="inlineStr">
        <is>
          <t>平台</t>
        </is>
      </c>
      <c r="AH3" s="11" t="inlineStr">
        <is>
          <t>平台</t>
        </is>
      </c>
      <c r="AI3" s="11" t="inlineStr">
        <is>
          <t>夾層</t>
        </is>
      </c>
      <c r="AJ3" s="11" t="inlineStr">
        <is>
          <t>夾層</t>
        </is>
      </c>
      <c r="AK3" s="11" t="inlineStr">
        <is>
          <t>屋突</t>
        </is>
      </c>
      <c r="AL3" s="11" t="inlineStr">
        <is>
          <t>屋突</t>
        </is>
      </c>
      <c r="AM3" s="11" t="inlineStr">
        <is>
          <t>防空避難室</t>
        </is>
      </c>
      <c r="AN3" s="11" t="inlineStr">
        <is>
          <t>防空避難室</t>
        </is>
      </c>
      <c r="AO3" s="11" t="inlineStr">
        <is>
          <t>共有部分
(一)</t>
        </is>
      </c>
      <c r="AP3" s="11" t="inlineStr">
        <is>
          <t>持分</t>
        </is>
      </c>
      <c r="AQ3" s="9" t="n"/>
      <c r="AR3" s="10" t="n"/>
      <c r="AS3" s="11" t="inlineStr">
        <is>
          <t>持有面積</t>
        </is>
      </c>
      <c r="AT3" s="11" t="inlineStr">
        <is>
          <t>持有面積</t>
        </is>
      </c>
      <c r="AU3" s="11" t="inlineStr">
        <is>
          <t>共有部分
(二)</t>
        </is>
      </c>
      <c r="AV3" s="11" t="inlineStr">
        <is>
          <t>持分</t>
        </is>
      </c>
      <c r="AW3" s="9" t="n"/>
      <c r="AX3" s="10" t="n"/>
      <c r="AY3" s="11" t="inlineStr">
        <is>
          <t>持有面積</t>
        </is>
      </c>
      <c r="AZ3" s="11" t="inlineStr">
        <is>
          <t>持有面積</t>
        </is>
      </c>
      <c r="BA3" s="11" t="inlineStr">
        <is>
          <t>建物總面積</t>
        </is>
      </c>
      <c r="BB3" s="11" t="inlineStr">
        <is>
          <t>樓次</t>
        </is>
      </c>
      <c r="BC3" s="11" t="inlineStr">
        <is>
          <t>門牌</t>
        </is>
      </c>
      <c r="BD3" s="12" t="inlineStr">
        <is>
          <t>立體價差</t>
        </is>
      </c>
      <c r="BE3" s="12" t="inlineStr">
        <is>
          <t>權利價值</t>
        </is>
      </c>
      <c r="BF3" s="12" t="inlineStr">
        <is>
          <t>分配比例</t>
        </is>
      </c>
    </row>
    <row r="4" ht="18" customHeight="1">
      <c r="A4" s="13" t="n"/>
      <c r="B4" s="13" t="n"/>
      <c r="C4" s="13" t="n"/>
      <c r="D4" s="13" t="n"/>
      <c r="E4" s="14" t="inlineStr">
        <is>
          <t>(㎡)</t>
        </is>
      </c>
      <c r="F4" s="13" t="n"/>
      <c r="G4" s="13" t="n"/>
      <c r="H4" s="14" t="inlineStr">
        <is>
          <t>分子</t>
        </is>
      </c>
      <c r="I4" s="14" t="inlineStr">
        <is>
          <t>/</t>
        </is>
      </c>
      <c r="J4" s="14" t="inlineStr">
        <is>
          <t>分母</t>
        </is>
      </c>
      <c r="K4" s="14" t="inlineStr">
        <is>
          <t>(%)</t>
        </is>
      </c>
      <c r="L4" s="14" t="inlineStr">
        <is>
          <t>(坪)</t>
        </is>
      </c>
      <c r="M4" s="14" t="inlineStr">
        <is>
          <t>(%)</t>
        </is>
      </c>
      <c r="N4" s="14" t="inlineStr">
        <is>
          <t>(坪)</t>
        </is>
      </c>
      <c r="O4" s="14" t="inlineStr">
        <is>
          <t>(元/㎡)</t>
        </is>
      </c>
      <c r="P4" s="13" t="n"/>
      <c r="Q4" s="15" t="inlineStr">
        <is>
          <t>(㎡)</t>
        </is>
      </c>
      <c r="R4" s="15" t="inlineStr">
        <is>
          <t>(㎡)</t>
        </is>
      </c>
      <c r="S4" s="15" t="n"/>
      <c r="T4" s="15" t="inlineStr">
        <is>
          <t>/</t>
        </is>
      </c>
      <c r="U4" s="15" t="n"/>
      <c r="V4" s="15" t="inlineStr">
        <is>
          <t>(坪)</t>
        </is>
      </c>
      <c r="W4" s="15" t="inlineStr">
        <is>
          <t>(㎡)</t>
        </is>
      </c>
      <c r="X4" s="15" t="n"/>
      <c r="Y4" s="15" t="inlineStr">
        <is>
          <t>/</t>
        </is>
      </c>
      <c r="Z4" s="15" t="n"/>
      <c r="AA4" s="15" t="inlineStr">
        <is>
          <t>(坪)</t>
        </is>
      </c>
      <c r="AB4" s="15" t="inlineStr">
        <is>
          <t>(㎡)</t>
        </is>
      </c>
      <c r="AC4" s="15" t="n"/>
      <c r="AD4" s="15" t="inlineStr">
        <is>
          <t>/</t>
        </is>
      </c>
      <c r="AE4" s="15" t="n"/>
      <c r="AF4" s="15" t="inlineStr">
        <is>
          <t>(坪)</t>
        </is>
      </c>
      <c r="AG4" s="15" t="inlineStr">
        <is>
          <t>(㎡)</t>
        </is>
      </c>
      <c r="AH4" s="15" t="inlineStr">
        <is>
          <t>(坪)</t>
        </is>
      </c>
      <c r="AI4" s="15" t="inlineStr">
        <is>
          <t>(㎡)</t>
        </is>
      </c>
      <c r="AJ4" s="15" t="inlineStr">
        <is>
          <t>(坪)</t>
        </is>
      </c>
      <c r="AK4" s="15" t="inlineStr">
        <is>
          <t>(㎡)</t>
        </is>
      </c>
      <c r="AL4" s="15" t="inlineStr">
        <is>
          <t>(坪)</t>
        </is>
      </c>
      <c r="AM4" s="15" t="inlineStr">
        <is>
          <t>(㎡)</t>
        </is>
      </c>
      <c r="AN4" s="15" t="inlineStr">
        <is>
          <t>(坪)</t>
        </is>
      </c>
      <c r="AO4" s="15" t="inlineStr">
        <is>
          <t>(㎡)</t>
        </is>
      </c>
      <c r="AP4" s="15" t="inlineStr">
        <is>
          <t>分子</t>
        </is>
      </c>
      <c r="AQ4" s="15" t="inlineStr">
        <is>
          <t>/</t>
        </is>
      </c>
      <c r="AR4" s="15" t="inlineStr">
        <is>
          <t>分母</t>
        </is>
      </c>
      <c r="AS4" s="15" t="inlineStr">
        <is>
          <t>(㎡)</t>
        </is>
      </c>
      <c r="AT4" s="15" t="inlineStr">
        <is>
          <t>(坪)</t>
        </is>
      </c>
      <c r="AU4" s="15" t="inlineStr">
        <is>
          <t>(㎡)</t>
        </is>
      </c>
      <c r="AV4" s="15" t="inlineStr">
        <is>
          <t>分子</t>
        </is>
      </c>
      <c r="AW4" s="15" t="inlineStr">
        <is>
          <t>/</t>
        </is>
      </c>
      <c r="AX4" s="15" t="inlineStr">
        <is>
          <t>分母</t>
        </is>
      </c>
      <c r="AY4" s="15" t="inlineStr">
        <is>
          <t>(㎡)</t>
        </is>
      </c>
      <c r="AZ4" s="15" t="inlineStr">
        <is>
          <t>(坪)</t>
        </is>
      </c>
      <c r="BA4" s="15" t="inlineStr">
        <is>
          <t>(坪)</t>
        </is>
      </c>
      <c r="BB4" s="13" t="n"/>
      <c r="BC4" s="13" t="n"/>
      <c r="BD4" s="13" t="n"/>
      <c r="BE4" s="13" t="n"/>
      <c r="BF4" s="13" t="n"/>
    </row>
    <row r="5" ht="22" customHeight="1">
      <c r="A5" s="16" t="n"/>
      <c r="B5" s="16" t="n"/>
      <c r="C5" s="16" t="n"/>
      <c r="D5" s="16" t="n"/>
      <c r="E5" s="17" t="n"/>
      <c r="F5" s="18" t="n"/>
      <c r="G5" s="16" t="n"/>
      <c r="H5" s="19" t="n"/>
      <c r="I5" s="16" t="inlineStr">
        <is>
          <t>/</t>
        </is>
      </c>
      <c r="J5" s="19" t="n"/>
      <c r="K5" s="20">
        <f>$R$1</f>
        <v/>
      </c>
      <c r="L5" s="17">
        <f>$E$5*0.3025*H5/J5</f>
        <v/>
      </c>
      <c r="M5" s="20">
        <f>$U$1</f>
        <v/>
      </c>
      <c r="N5" s="17">
        <f>L5*K5*(1+M5)</f>
        <v/>
      </c>
      <c r="O5" s="21" t="n"/>
      <c r="P5" s="16" t="n"/>
      <c r="Q5" s="17" t="n"/>
      <c r="R5" s="17" t="n"/>
      <c r="S5" s="19" t="n"/>
      <c r="T5" s="16" t="inlineStr">
        <is>
          <t>/</t>
        </is>
      </c>
      <c r="U5" s="19" t="n"/>
      <c r="V5" s="17">
        <f>R5*0.3025</f>
        <v/>
      </c>
      <c r="W5" s="17" t="n"/>
      <c r="X5" s="19" t="n"/>
      <c r="Y5" s="16" t="n"/>
      <c r="Z5" s="19" t="n"/>
      <c r="AA5" s="17">
        <f>W5*0.3025</f>
        <v/>
      </c>
      <c r="AB5" s="17" t="n"/>
      <c r="AC5" s="19" t="n"/>
      <c r="AD5" s="16" t="inlineStr">
        <is>
          <t>/</t>
        </is>
      </c>
      <c r="AE5" s="19" t="n"/>
      <c r="AF5" s="17">
        <f>AB5*0.3025</f>
        <v/>
      </c>
      <c r="AG5" s="17" t="n"/>
      <c r="AH5" s="17">
        <f>AG5*0.3025</f>
        <v/>
      </c>
      <c r="AI5" s="17" t="n"/>
      <c r="AJ5" s="17">
        <f>AI5*0.3025</f>
        <v/>
      </c>
      <c r="AK5" s="17" t="n"/>
      <c r="AL5" s="17">
        <f>AK5*0.3025</f>
        <v/>
      </c>
      <c r="AM5" s="17" t="n"/>
      <c r="AN5" s="17">
        <f>AM5*0.3025</f>
        <v/>
      </c>
      <c r="AO5" s="17" t="n"/>
      <c r="AP5" s="19" t="n"/>
      <c r="AQ5" s="16" t="inlineStr">
        <is>
          <t>/</t>
        </is>
      </c>
      <c r="AR5" s="19" t="n"/>
      <c r="AS5" s="17">
        <f>AO5*AP5/AR5</f>
        <v/>
      </c>
      <c r="AT5" s="17">
        <f>AS5*0.3025</f>
        <v/>
      </c>
      <c r="AU5" s="17" t="n"/>
      <c r="AV5" s="19" t="n"/>
      <c r="AW5" s="16" t="inlineStr">
        <is>
          <t>/</t>
        </is>
      </c>
      <c r="AX5" s="19" t="n"/>
      <c r="AY5" s="17">
        <f>AU5*AV5/AX5</f>
        <v/>
      </c>
      <c r="AZ5" s="17">
        <f>AY5*0.3025</f>
        <v/>
      </c>
      <c r="BA5" s="17">
        <f>V5+AA5+AF5+AH5+AJ5+AL5+AN5+AT5+AZ5</f>
        <v/>
      </c>
      <c r="BB5" s="16" t="n"/>
      <c r="BC5" s="18" t="n"/>
      <c r="BD5" s="22" t="n"/>
      <c r="BE5" s="17">
        <f>N5*BD5</f>
        <v/>
      </c>
      <c r="BF5" s="23">
        <f>IF(SUM($BE$5:$BE$5000)=0,0,BE5/SUM($BE$5:$BE$5000))</f>
        <v/>
      </c>
    </row>
    <row r="6" ht="22" customHeight="1">
      <c r="A6" s="24" t="n"/>
      <c r="B6" s="24" t="n"/>
      <c r="C6" s="24" t="n"/>
      <c r="D6" s="24" t="n"/>
      <c r="E6" s="25" t="n"/>
      <c r="F6" s="26" t="n"/>
      <c r="G6" s="24" t="n"/>
      <c r="H6" s="27" t="n"/>
      <c r="I6" s="24" t="n"/>
      <c r="J6" s="27" t="n"/>
      <c r="K6" s="28" t="n"/>
      <c r="L6" s="25" t="n"/>
      <c r="M6" s="28" t="n"/>
      <c r="N6" s="25" t="n"/>
      <c r="O6" s="29" t="n"/>
      <c r="P6" s="24" t="n"/>
      <c r="Q6" s="25" t="n"/>
      <c r="R6" s="25" t="n"/>
      <c r="S6" s="27" t="n"/>
      <c r="T6" s="24" t="n"/>
      <c r="U6" s="27" t="n"/>
      <c r="V6" s="25" t="n"/>
      <c r="W6" s="25" t="n"/>
      <c r="X6" s="27" t="n"/>
      <c r="Y6" s="24" t="n"/>
      <c r="Z6" s="27" t="n"/>
      <c r="AA6" s="25" t="n"/>
      <c r="AB6" s="25" t="n"/>
      <c r="AC6" s="27" t="n"/>
      <c r="AD6" s="24" t="n"/>
      <c r="AE6" s="27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7" t="n"/>
      <c r="AQ6" s="24" t="n"/>
      <c r="AR6" s="27" t="n"/>
      <c r="AS6" s="25" t="n"/>
      <c r="AT6" s="25" t="n"/>
      <c r="AU6" s="25" t="n"/>
      <c r="AV6" s="27" t="n"/>
      <c r="AW6" s="24" t="n"/>
      <c r="AX6" s="27" t="n"/>
      <c r="AY6" s="25" t="n"/>
      <c r="AZ6" s="25" t="n"/>
      <c r="BA6" s="25" t="n"/>
      <c r="BB6" s="24" t="n"/>
      <c r="BC6" s="26" t="n"/>
      <c r="BD6" s="30" t="n"/>
      <c r="BE6" s="25" t="n"/>
      <c r="BF6" s="31" t="n"/>
    </row>
    <row r="7" ht="22" customHeight="1">
      <c r="A7" s="24" t="n"/>
      <c r="B7" s="24" t="n"/>
      <c r="C7" s="24" t="n"/>
      <c r="D7" s="24" t="n"/>
      <c r="E7" s="25" t="n"/>
      <c r="F7" s="26" t="n"/>
      <c r="G7" s="24" t="n"/>
      <c r="H7" s="27" t="n"/>
      <c r="I7" s="24" t="n"/>
      <c r="J7" s="27" t="n"/>
      <c r="K7" s="28" t="n"/>
      <c r="L7" s="25" t="n"/>
      <c r="M7" s="28" t="n"/>
      <c r="N7" s="25" t="n"/>
      <c r="O7" s="29" t="n"/>
      <c r="P7" s="24" t="n"/>
      <c r="Q7" s="25" t="n"/>
      <c r="R7" s="25" t="n"/>
      <c r="S7" s="27" t="n"/>
      <c r="T7" s="24" t="n"/>
      <c r="U7" s="27" t="n"/>
      <c r="V7" s="25" t="n"/>
      <c r="W7" s="25" t="n"/>
      <c r="X7" s="27" t="n"/>
      <c r="Y7" s="24" t="n"/>
      <c r="Z7" s="27" t="n"/>
      <c r="AA7" s="25" t="n"/>
      <c r="AB7" s="25" t="n"/>
      <c r="AC7" s="27" t="n"/>
      <c r="AD7" s="24" t="n"/>
      <c r="AE7" s="27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7" t="n"/>
      <c r="AQ7" s="24" t="n"/>
      <c r="AR7" s="27" t="n"/>
      <c r="AS7" s="25" t="n"/>
      <c r="AT7" s="25" t="n"/>
      <c r="AU7" s="25" t="n"/>
      <c r="AV7" s="27" t="n"/>
      <c r="AW7" s="24" t="n"/>
      <c r="AX7" s="27" t="n"/>
      <c r="AY7" s="25" t="n"/>
      <c r="AZ7" s="25" t="n"/>
      <c r="BA7" s="25" t="n"/>
      <c r="BB7" s="24" t="n"/>
      <c r="BC7" s="26" t="n"/>
      <c r="BD7" s="30" t="n"/>
      <c r="BE7" s="25" t="n"/>
      <c r="BF7" s="31" t="n"/>
    </row>
    <row r="8" ht="22" customHeight="1">
      <c r="A8" s="24" t="n"/>
      <c r="B8" s="24" t="n"/>
      <c r="C8" s="24" t="n"/>
      <c r="D8" s="24" t="n"/>
      <c r="E8" s="25" t="n"/>
      <c r="F8" s="26" t="n"/>
      <c r="G8" s="24" t="n"/>
      <c r="H8" s="27" t="n"/>
      <c r="I8" s="24" t="n"/>
      <c r="J8" s="27" t="n"/>
      <c r="K8" s="28" t="n"/>
      <c r="L8" s="25" t="n"/>
      <c r="M8" s="28" t="n"/>
      <c r="N8" s="25" t="n"/>
      <c r="O8" s="29" t="n"/>
      <c r="P8" s="24" t="n"/>
      <c r="Q8" s="25" t="n"/>
      <c r="R8" s="25" t="n"/>
      <c r="S8" s="27" t="n"/>
      <c r="T8" s="24" t="n"/>
      <c r="U8" s="27" t="n"/>
      <c r="V8" s="25" t="n"/>
      <c r="W8" s="25" t="n"/>
      <c r="X8" s="27" t="n"/>
      <c r="Y8" s="24" t="n"/>
      <c r="Z8" s="27" t="n"/>
      <c r="AA8" s="25" t="n"/>
      <c r="AB8" s="25" t="n"/>
      <c r="AC8" s="27" t="n"/>
      <c r="AD8" s="24" t="n"/>
      <c r="AE8" s="27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7" t="n"/>
      <c r="AQ8" s="24" t="n"/>
      <c r="AR8" s="27" t="n"/>
      <c r="AS8" s="25" t="n"/>
      <c r="AT8" s="25" t="n"/>
      <c r="AU8" s="25" t="n"/>
      <c r="AV8" s="27" t="n"/>
      <c r="AW8" s="24" t="n"/>
      <c r="AX8" s="27" t="n"/>
      <c r="AY8" s="25" t="n"/>
      <c r="AZ8" s="25" t="n"/>
      <c r="BA8" s="25" t="n"/>
      <c r="BB8" s="24" t="n"/>
      <c r="BC8" s="26" t="n"/>
      <c r="BD8" s="30" t="n"/>
      <c r="BE8" s="25" t="n"/>
      <c r="BF8" s="31" t="n"/>
    </row>
    <row r="9" ht="22" customHeight="1">
      <c r="A9" s="24" t="n"/>
      <c r="B9" s="24" t="n"/>
      <c r="C9" s="24" t="n"/>
      <c r="D9" s="24" t="n"/>
      <c r="E9" s="25" t="n"/>
      <c r="F9" s="26" t="n"/>
      <c r="G9" s="24" t="n"/>
      <c r="H9" s="27" t="n"/>
      <c r="I9" s="24" t="n"/>
      <c r="J9" s="27" t="n"/>
      <c r="K9" s="28" t="n"/>
      <c r="L9" s="25" t="n"/>
      <c r="M9" s="28" t="n"/>
      <c r="N9" s="25" t="n"/>
      <c r="O9" s="29" t="n"/>
      <c r="P9" s="24" t="n"/>
      <c r="Q9" s="25" t="n"/>
      <c r="R9" s="25" t="n"/>
      <c r="S9" s="27" t="n"/>
      <c r="T9" s="24" t="n"/>
      <c r="U9" s="27" t="n"/>
      <c r="V9" s="25" t="n"/>
      <c r="W9" s="25" t="n"/>
      <c r="X9" s="27" t="n"/>
      <c r="Y9" s="24" t="n"/>
      <c r="Z9" s="27" t="n"/>
      <c r="AA9" s="25" t="n"/>
      <c r="AB9" s="25" t="n"/>
      <c r="AC9" s="27" t="n"/>
      <c r="AD9" s="24" t="n"/>
      <c r="AE9" s="27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7" t="n"/>
      <c r="AQ9" s="24" t="n"/>
      <c r="AR9" s="27" t="n"/>
      <c r="AS9" s="25" t="n"/>
      <c r="AT9" s="25" t="n"/>
      <c r="AU9" s="25" t="n"/>
      <c r="AV9" s="27" t="n"/>
      <c r="AW9" s="24" t="n"/>
      <c r="AX9" s="27" t="n"/>
      <c r="AY9" s="25" t="n"/>
      <c r="AZ9" s="25" t="n"/>
      <c r="BA9" s="25" t="n"/>
      <c r="BB9" s="24" t="n"/>
      <c r="BC9" s="26" t="n"/>
      <c r="BD9" s="30" t="n"/>
      <c r="BE9" s="25" t="n"/>
      <c r="BF9" s="31" t="n"/>
    </row>
    <row r="10" ht="22" customHeight="1">
      <c r="A10" s="24" t="n"/>
      <c r="B10" s="24" t="n"/>
      <c r="C10" s="24" t="n"/>
      <c r="D10" s="24" t="n"/>
      <c r="E10" s="25" t="n"/>
      <c r="F10" s="26" t="n"/>
      <c r="G10" s="24" t="n"/>
      <c r="H10" s="27" t="n"/>
      <c r="I10" s="24" t="n"/>
      <c r="J10" s="27" t="n"/>
      <c r="K10" s="28" t="n"/>
      <c r="L10" s="25" t="n"/>
      <c r="M10" s="28" t="n"/>
      <c r="N10" s="25" t="n"/>
      <c r="O10" s="29" t="n"/>
      <c r="P10" s="24" t="n"/>
      <c r="Q10" s="25" t="n"/>
      <c r="R10" s="25" t="n"/>
      <c r="S10" s="27" t="n"/>
      <c r="T10" s="24" t="n"/>
      <c r="U10" s="27" t="n"/>
      <c r="V10" s="25" t="n"/>
      <c r="W10" s="25" t="n"/>
      <c r="X10" s="27" t="n"/>
      <c r="Y10" s="24" t="n"/>
      <c r="Z10" s="27" t="n"/>
      <c r="AA10" s="25" t="n"/>
      <c r="AB10" s="25" t="n"/>
      <c r="AC10" s="27" t="n"/>
      <c r="AD10" s="24" t="n"/>
      <c r="AE10" s="27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7" t="n"/>
      <c r="AQ10" s="24" t="n"/>
      <c r="AR10" s="27" t="n"/>
      <c r="AS10" s="25" t="n"/>
      <c r="AT10" s="25" t="n"/>
      <c r="AU10" s="25" t="n"/>
      <c r="AV10" s="27" t="n"/>
      <c r="AW10" s="24" t="n"/>
      <c r="AX10" s="27" t="n"/>
      <c r="AY10" s="25" t="n"/>
      <c r="AZ10" s="25" t="n"/>
      <c r="BA10" s="25" t="n"/>
      <c r="BB10" s="24" t="n"/>
      <c r="BC10" s="26" t="n"/>
      <c r="BD10" s="30" t="n"/>
      <c r="BE10" s="25" t="n"/>
      <c r="BF10" s="31" t="n"/>
    </row>
    <row r="11" ht="22" customHeight="1">
      <c r="A11" s="32" t="n"/>
      <c r="B11" s="32" t="n"/>
      <c r="C11" s="32" t="n"/>
      <c r="D11" s="32" t="n"/>
      <c r="E11" s="33" t="n"/>
      <c r="F11" s="34" t="n"/>
      <c r="G11" s="32" t="n"/>
      <c r="H11" s="35" t="n"/>
      <c r="I11" s="32" t="n"/>
      <c r="J11" s="35" t="n"/>
      <c r="K11" s="36" t="n"/>
      <c r="L11" s="33" t="n"/>
      <c r="M11" s="36" t="n"/>
      <c r="N11" s="33" t="n"/>
      <c r="O11" s="37" t="n"/>
      <c r="P11" s="32" t="n"/>
      <c r="Q11" s="33" t="n"/>
      <c r="R11" s="33" t="n"/>
      <c r="S11" s="35" t="n"/>
      <c r="T11" s="32" t="n"/>
      <c r="U11" s="35" t="n"/>
      <c r="V11" s="33" t="n"/>
      <c r="W11" s="33" t="n"/>
      <c r="X11" s="35" t="n"/>
      <c r="Y11" s="32" t="n"/>
      <c r="Z11" s="35" t="n"/>
      <c r="AA11" s="33" t="n"/>
      <c r="AB11" s="33" t="n"/>
      <c r="AC11" s="35" t="n"/>
      <c r="AD11" s="32" t="n"/>
      <c r="AE11" s="35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5" t="n"/>
      <c r="AQ11" s="32" t="n"/>
      <c r="AR11" s="35" t="n"/>
      <c r="AS11" s="33" t="n"/>
      <c r="AT11" s="33" t="n"/>
      <c r="AU11" s="33" t="n"/>
      <c r="AV11" s="35" t="n"/>
      <c r="AW11" s="32" t="n"/>
      <c r="AX11" s="35" t="n"/>
      <c r="AY11" s="33" t="n"/>
      <c r="AZ11" s="33" t="n"/>
      <c r="BA11" s="33" t="n"/>
      <c r="BB11" s="32" t="n"/>
      <c r="BC11" s="34" t="n"/>
      <c r="BD11" s="38" t="n"/>
      <c r="BE11" s="33" t="n"/>
      <c r="BF11" s="39" t="n"/>
    </row>
  </sheetData>
  <mergeCells count="25">
    <mergeCell ref="BD3:BD4"/>
    <mergeCell ref="BD2:BF2"/>
    <mergeCell ref="B3:B4"/>
    <mergeCell ref="F3:F4"/>
    <mergeCell ref="P1:Q1"/>
    <mergeCell ref="BF3:BF4"/>
    <mergeCell ref="X3:Z3"/>
    <mergeCell ref="A2:O2"/>
    <mergeCell ref="A3:A4"/>
    <mergeCell ref="G3:G4"/>
    <mergeCell ref="D3:D4"/>
    <mergeCell ref="BC3:BC4"/>
    <mergeCell ref="H3:J3"/>
    <mergeCell ref="P3:P4"/>
    <mergeCell ref="AP3:AR3"/>
    <mergeCell ref="BE3:BE4"/>
    <mergeCell ref="C3:C4"/>
    <mergeCell ref="S1:T1"/>
    <mergeCell ref="U1:V1"/>
    <mergeCell ref="A1:O1"/>
    <mergeCell ref="AC3:AE3"/>
    <mergeCell ref="S3:U3"/>
    <mergeCell ref="P2:BC2"/>
    <mergeCell ref="AV3:AX3"/>
    <mergeCell ref="BB3:BB4"/>
  </mergeCells>
  <pageMargins left="0.75" right="0.75" top="1" bottom="1" header="0.5" footer="0.5"/>
  <pageSetup orientation="landscape" paperSize="8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Jacky</dc:creator>
  <dc:title xmlns:dc="http://purl.org/dc/elements/1.1/">地號清冊</dc:title>
  <dcterms:created xmlns:dcterms="http://purl.org/dc/terms/" xmlns:xsi="http://www.w3.org/2001/XMLSchema-instance" xsi:type="dcterms:W3CDTF">2026-10-14T07:50:35Z</dcterms:created>
  <dcterms:modified xmlns:dcterms="http://purl.org/dc/terms/" xmlns:xsi="http://www.w3.org/2001/XMLSchema-instance" xsi:type="dcterms:W3CDTF">2026-10-14T07:50:35Z</dcterms:modified>
  <cp:lastModifiedBy>Jacky</cp:lastModifiedBy>
</cp:coreProperties>
</file>