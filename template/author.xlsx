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權屬+分配表" sheetId="1" state="visible" r:id="rId1"/>
  </sheets>
  <definedNames>
    <definedName name="_xlnm.Print_Titles" localSheetId="0">'權屬+分配表'!$1:$4</definedName>
    <definedName name="_xlnm.Print_Area" localSheetId="0">'權屬+分配表'!$A$1:$AU$16</definedName>
  </definedNames>
  <calcPr calcId="124519" fullCalcOnLoad="1"/>
</workbook>
</file>

<file path=xl/styles.xml><?xml version="1.0" encoding="utf-8"?>
<styleSheet xmlns="http://schemas.openxmlformats.org/spreadsheetml/2006/main">
  <numFmts count="14">
    <numFmt numFmtId="164" formatCode="0.00_ "/>
    <numFmt numFmtId="165" formatCode="_-* #,##0.00_-;\-* #,##0.00_-;_-* &quot;-&quot;??_-;_-@"/>
    <numFmt numFmtId="166" formatCode="&quot;公梯約&quot;0.00%"/>
    <numFmt numFmtId="167" formatCode="_-* #,##0_-;\-* #,##0_-;_-* &quot;-&quot;??_-;_-@"/>
    <numFmt numFmtId="168" formatCode="&quot;(&quot;#,##0&quot;萬/戶)&quot;"/>
    <numFmt numFmtId="169" formatCode="&quot;一樓&quot;\ 0\ &quot;元/坪&quot;\ "/>
    <numFmt numFmtId="170" formatCode="&quot;二樓&quot;\ 0\ &quot;元/坪&quot;\ "/>
    <numFmt numFmtId="171" formatCode="_-* #,##0.00_-;\-* #,##0.00_-;_-* &quot;-&quot;??_-;_-@_-"/>
    <numFmt numFmtId="172" formatCode="00000000"/>
    <numFmt numFmtId="173" formatCode="_-* #,##0_-;\-* #,##0_-;_-* &quot;-&quot;_-;_-@_-"/>
    <numFmt numFmtId="174" formatCode="&quot;共&quot;0&quot;筆&quot;"/>
    <numFmt numFmtId="175" formatCode="&quot;共&quot;0&quot;戶&quot;"/>
    <numFmt numFmtId="176" formatCode="#,##0_ "/>
    <numFmt numFmtId="177" formatCode="0.0%"/>
  </numFmts>
  <fonts count="15">
    <font>
      <name val="Calibri"/>
      <family val="2"/>
      <color theme="1"/>
      <sz val="11"/>
      <scheme val="minor"/>
    </font>
    <font>
      <name val="微軟正黑體 Light"/>
      <charset val="136"/>
      <family val="2"/>
      <color theme="1"/>
      <sz val="12"/>
    </font>
    <font>
      <name val="Calibri"/>
      <family val="2"/>
      <color theme="1"/>
      <sz val="12"/>
      <scheme val="minor"/>
    </font>
    <font>
      <name val="微軟正黑體 Light"/>
      <charset val="136"/>
      <family val="2"/>
      <color theme="1"/>
      <sz val="14"/>
    </font>
    <font>
      <name val="細明體"/>
      <charset val="136"/>
      <family val="3"/>
      <sz val="12"/>
    </font>
    <font>
      <name val="微軟正黑體 Light"/>
      <charset val="136"/>
      <family val="2"/>
      <b val="1"/>
      <sz val="14"/>
    </font>
    <font>
      <name val="Calibri"/>
      <family val="2"/>
      <b val="1"/>
      <sz val="12"/>
      <scheme val="minor"/>
    </font>
    <font>
      <name val="Calibri"/>
      <family val="2"/>
      <sz val="12"/>
    </font>
    <font>
      <name val="微軟正黑體 Light"/>
      <charset val="136"/>
      <family val="2"/>
      <b val="1"/>
      <sz val="12"/>
    </font>
    <font>
      <name val="微軟正黑體 Light"/>
      <charset val="136"/>
      <family val="2"/>
      <sz val="12"/>
    </font>
    <font>
      <name val="微軟正黑體 Light"/>
      <charset val="136"/>
      <family val="2"/>
      <sz val="9"/>
    </font>
    <font>
      <name val="Calibri"/>
      <charset val="136"/>
      <family val="3"/>
      <color theme="1"/>
      <sz val="12"/>
      <scheme val="minor"/>
    </font>
    <font>
      <name val="微軟正黑體 Light"/>
      <charset val="136"/>
      <family val="2"/>
      <b val="1"/>
      <color theme="1"/>
      <sz val="12"/>
    </font>
    <font>
      <name val="微軟正黑體"/>
      <charset val="136"/>
      <family val="2"/>
      <color theme="1"/>
      <sz val="11"/>
    </font>
    <font>
      <name val="微軟正黑體 Light"/>
      <charset val="136"/>
      <family val="2"/>
      <color rgb="FFFF0000"/>
      <sz val="12"/>
    </font>
  </fonts>
  <fills count="9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B8CCE4"/>
        <bgColor rgb="FFB8CCE4"/>
      </patternFill>
    </fill>
    <fill>
      <patternFill patternType="solid">
        <fgColor rgb="FFFFFF99"/>
        <bgColor rgb="FFFFFF99"/>
      </patternFill>
    </fill>
    <fill>
      <patternFill patternType="solid">
        <fgColor theme="4" tint="0.5999938962981048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rgb="FFBFBFBF"/>
      </patternFill>
    </fill>
  </fills>
  <borders count="74">
    <border>
      <left/>
      <right/>
      <top/>
      <bottom/>
      <diagonal/>
    </border>
    <border>
      <left style="medium">
        <color rgb="FF000000"/>
      </left>
      <right style="thin">
        <color rgb="FF7F7F7F"/>
      </right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 style="thin">
        <color rgb="FF7F7F7F"/>
      </left>
      <right style="medium">
        <color rgb="FF000000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medium">
        <color rgb="FF000000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7F7F7F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/>
      <top/>
      <bottom/>
      <diagonal/>
    </border>
    <border>
      <left style="thin">
        <color rgb="FF7F7F7F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7F7F7F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7F7F7F"/>
      </right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 style="medium">
        <color rgb="FF000000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medium">
        <color rgb="FF000000"/>
      </right>
      <top/>
      <bottom style="thin">
        <color rgb="FF7F7F7F"/>
      </bottom>
      <diagonal/>
    </border>
    <border>
      <left/>
      <right style="medium">
        <color rgb="FF000000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rgb="FF000000"/>
      </right>
      <top style="thin">
        <color rgb="FF7F7F7F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theme="0" tint="-0.499984740745262"/>
      </right>
      <top style="medium">
        <color rgb="FF000000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rgb="FF000000"/>
      </top>
      <bottom style="thin">
        <color theme="0" tint="-0.499984740745262"/>
      </bottom>
      <diagonal/>
    </border>
    <border>
      <left/>
      <right/>
      <top style="medium">
        <color rgb="FF000000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rgb="FF000000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rgb="FF000000"/>
      </top>
      <bottom style="thin">
        <color theme="0" tint="-0.499984740745262"/>
      </bottom>
      <diagonal/>
    </border>
    <border>
      <left style="medium">
        <color rgb="FF000000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rgb="FF000000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rgb="FF000000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rgb="FF000000"/>
      </right>
      <top style="medium">
        <color rgb="FF000000"/>
      </top>
      <bottom style="thin">
        <color theme="0" tint="-0.499984740745262"/>
      </bottom>
      <diagonal/>
    </border>
    <border>
      <left style="medium">
        <color rgb="FF000000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 style="medium">
        <color rgb="FF000000"/>
      </right>
      <top/>
      <bottom/>
      <diagonal/>
    </border>
    <border>
      <left style="thin">
        <color theme="0" tint="-0.499984740745262"/>
      </left>
      <right style="medium">
        <color rgb="FF000000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rgb="FF000000"/>
      </bottom>
      <diagonal/>
    </border>
    <border>
      <left/>
      <right/>
      <top style="thin">
        <color theme="0" tint="-0.499984740745262"/>
      </top>
      <bottom style="medium">
        <color rgb="FF000000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rgb="FF000000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rgb="FF000000"/>
      </bottom>
      <diagonal/>
    </border>
    <border>
      <left style="thin">
        <color theme="0" tint="-0.499984740745262"/>
      </left>
      <right style="medium">
        <color rgb="FF000000"/>
      </right>
      <top style="thin">
        <color theme="0" tint="-0.499984740745262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7F7F7F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7F7F7F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/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5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2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2" borderId="5" applyAlignment="1" pivotButton="0" quotePrefix="0" xfId="0">
      <alignment horizontal="center" vertical="center"/>
    </xf>
    <xf numFmtId="0" fontId="0" fillId="0" borderId="6" pivotButton="0" quotePrefix="0" xfId="0"/>
    <xf numFmtId="0" fontId="3" fillId="2" borderId="5" applyAlignment="1" pivotButton="0" quotePrefix="0" xfId="0">
      <alignment horizontal="center" vertical="center" wrapText="1"/>
    </xf>
    <xf numFmtId="164" fontId="3" fillId="2" borderId="3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 wrapText="1"/>
    </xf>
    <xf numFmtId="40" fontId="3" fillId="2" borderId="8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165" fontId="3" fillId="2" borderId="3" applyAlignment="1" pivotButton="0" quotePrefix="0" xfId="0">
      <alignment horizontal="center" vertical="center"/>
    </xf>
    <xf numFmtId="165" fontId="3" fillId="2" borderId="3" applyAlignment="1" pivotButton="0" quotePrefix="0" xfId="0">
      <alignment horizontal="center" vertical="center" wrapText="1"/>
    </xf>
    <xf numFmtId="165" fontId="3" fillId="2" borderId="9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3" borderId="10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0" fillId="0" borderId="12" pivotButton="0" quotePrefix="0" xfId="0"/>
    <xf numFmtId="0" fontId="6" fillId="0" borderId="0" applyAlignment="1" pivotButton="0" quotePrefix="0" xfId="0">
      <alignment vertical="center"/>
    </xf>
    <xf numFmtId="0" fontId="5" fillId="4" borderId="13" applyAlignment="1" pivotButton="0" quotePrefix="0" xfId="0">
      <alignment horizontal="center" vertical="center" wrapText="1"/>
    </xf>
    <xf numFmtId="0" fontId="0" fillId="0" borderId="14" pivotButton="0" quotePrefix="0" xfId="0"/>
    <xf numFmtId="0" fontId="5" fillId="4" borderId="15" applyAlignment="1" pivotButton="0" quotePrefix="0" xfId="0">
      <alignment horizontal="center" vertical="center"/>
    </xf>
    <xf numFmtId="0" fontId="0" fillId="0" borderId="16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7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3" fillId="2" borderId="9" applyAlignment="1" pivotButton="0" quotePrefix="0" xfId="0">
      <alignment horizontal="center" vertical="center" wrapText="1"/>
    </xf>
    <xf numFmtId="0" fontId="7" fillId="0" borderId="4" applyAlignment="1" pivotButton="0" quotePrefix="0" xfId="0">
      <alignment vertical="center"/>
    </xf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10" fontId="8" fillId="6" borderId="25" applyAlignment="1" pivotButton="0" quotePrefix="0" xfId="0">
      <alignment horizontal="center" vertical="center"/>
    </xf>
    <xf numFmtId="10" fontId="8" fillId="6" borderId="13" applyAlignment="1" pivotButton="0" quotePrefix="0" xfId="0">
      <alignment horizontal="center" vertical="center"/>
    </xf>
    <xf numFmtId="10" fontId="5" fillId="6" borderId="15" applyAlignment="1" pivotButton="0" quotePrefix="0" xfId="0">
      <alignment horizontal="center" vertical="center"/>
    </xf>
    <xf numFmtId="10" fontId="5" fillId="5" borderId="2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3" fillId="2" borderId="3" applyAlignment="1" pivotButton="0" quotePrefix="0" xfId="0">
      <alignment horizontal="center" vertical="center"/>
    </xf>
    <xf numFmtId="0" fontId="0" fillId="0" borderId="32" pivotButton="0" quotePrefix="0" xfId="0"/>
    <xf numFmtId="0" fontId="8" fillId="4" borderId="25" applyAlignment="1" pivotButton="0" quotePrefix="0" xfId="0">
      <alignment horizontal="center" vertical="center" wrapText="1"/>
    </xf>
    <xf numFmtId="10" fontId="5" fillId="6" borderId="13" applyAlignment="1" pivotButton="0" quotePrefix="0" xfId="0">
      <alignment horizontal="center" vertical="center"/>
    </xf>
    <xf numFmtId="0" fontId="8" fillId="4" borderId="13" applyAlignment="1" pivotButton="0" quotePrefix="0" xfId="0">
      <alignment horizontal="center" vertical="center" wrapText="1"/>
    </xf>
    <xf numFmtId="0" fontId="8" fillId="5" borderId="4" applyAlignment="1" pivotButton="0" quotePrefix="0" xfId="0">
      <alignment horizontal="center" vertical="center" wrapText="1"/>
    </xf>
    <xf numFmtId="0" fontId="8" fillId="5" borderId="3" applyAlignment="1" pivotButton="0" quotePrefix="0" xfId="0">
      <alignment horizontal="center" vertical="center" wrapText="1"/>
    </xf>
    <xf numFmtId="0" fontId="8" fillId="5" borderId="7" applyAlignment="1" pivotButton="0" quotePrefix="0" xfId="0">
      <alignment horizontal="center" vertical="center" wrapText="1"/>
    </xf>
    <xf numFmtId="0" fontId="0" fillId="0" borderId="33" pivotButton="0" quotePrefix="0" xfId="0"/>
    <xf numFmtId="165" fontId="3" fillId="2" borderId="5" applyAlignment="1" pivotButton="0" quotePrefix="0" xfId="0">
      <alignment horizontal="center" vertical="center"/>
    </xf>
    <xf numFmtId="0" fontId="3" fillId="2" borderId="34" applyAlignment="1" pivotButton="0" quotePrefix="0" xfId="0">
      <alignment horizontal="center" vertical="center" wrapText="1"/>
    </xf>
    <xf numFmtId="0" fontId="0" fillId="0" borderId="35" pivotButton="0" quotePrefix="0" xfId="0"/>
    <xf numFmtId="165" fontId="3" fillId="2" borderId="10" applyAlignment="1" pivotButton="0" quotePrefix="0" xfId="0">
      <alignment horizontal="center" vertical="center"/>
    </xf>
    <xf numFmtId="166" fontId="3" fillId="2" borderId="21" applyAlignment="1" pivotButton="0" quotePrefix="0" xfId="0">
      <alignment horizontal="center" vertical="center"/>
    </xf>
    <xf numFmtId="165" fontId="9" fillId="4" borderId="25" applyAlignment="1" pivotButton="0" quotePrefix="0" xfId="0">
      <alignment horizontal="center" vertical="center" wrapText="1"/>
    </xf>
    <xf numFmtId="165" fontId="9" fillId="4" borderId="13" applyAlignment="1" pivotButton="0" quotePrefix="0" xfId="0">
      <alignment horizontal="center" vertical="center" wrapText="1"/>
    </xf>
    <xf numFmtId="167" fontId="9" fillId="4" borderId="13" applyAlignment="1" pivotButton="0" quotePrefix="0" xfId="0">
      <alignment horizontal="right" vertical="center" wrapText="1"/>
    </xf>
    <xf numFmtId="10" fontId="9" fillId="4" borderId="13" applyAlignment="1" pivotButton="0" quotePrefix="0" xfId="0">
      <alignment horizontal="center" vertical="center" wrapText="1"/>
    </xf>
    <xf numFmtId="165" fontId="9" fillId="4" borderId="15" applyAlignment="1" pivotButton="0" quotePrefix="0" xfId="0">
      <alignment horizontal="center" vertical="center" wrapText="1"/>
    </xf>
    <xf numFmtId="165" fontId="9" fillId="5" borderId="2" applyAlignment="1" pivotButton="0" quotePrefix="0" xfId="0">
      <alignment horizontal="center" vertical="center" wrapText="1"/>
    </xf>
    <xf numFmtId="165" fontId="9" fillId="5" borderId="5" applyAlignment="1" pivotButton="0" quotePrefix="0" xfId="0">
      <alignment horizontal="center" vertical="center" wrapText="1"/>
    </xf>
    <xf numFmtId="168" fontId="9" fillId="5" borderId="5" applyAlignment="1" pivotButton="0" quotePrefix="0" xfId="0">
      <alignment horizontal="center" vertical="center" wrapText="1"/>
    </xf>
    <xf numFmtId="169" fontId="10" fillId="5" borderId="10" applyAlignment="1" pivotButton="0" quotePrefix="0" xfId="0">
      <alignment horizontal="center" vertical="center" wrapText="1"/>
    </xf>
    <xf numFmtId="170" fontId="10" fillId="5" borderId="34" applyAlignment="1" pivotButton="0" quotePrefix="0" xfId="0">
      <alignment horizontal="center" vertical="center" wrapText="1"/>
    </xf>
    <xf numFmtId="38" fontId="11" fillId="0" borderId="0" applyAlignment="1" pivotButton="0" quotePrefix="0" xfId="0">
      <alignment horizontal="center" vertical="center"/>
    </xf>
    <xf numFmtId="0" fontId="3" fillId="0" borderId="36" applyAlignment="1" pivotButton="0" quotePrefix="0" xfId="0">
      <alignment horizontal="center" vertical="center" textRotation="255"/>
    </xf>
    <xf numFmtId="49" fontId="12" fillId="7" borderId="37" applyAlignment="1" pivotButton="0" quotePrefix="0" xfId="0">
      <alignment horizontal="center" vertical="center" wrapText="1"/>
    </xf>
    <xf numFmtId="49" fontId="1" fillId="7" borderId="38" applyAlignment="1" pivotButton="0" quotePrefix="0" xfId="0">
      <alignment horizontal="center" vertical="center"/>
    </xf>
    <xf numFmtId="171" fontId="13" fillId="7" borderId="38" applyAlignment="1" pivotButton="0" quotePrefix="0" xfId="0">
      <alignment horizontal="center" vertical="center"/>
    </xf>
    <xf numFmtId="165" fontId="1" fillId="7" borderId="38" applyAlignment="1" pivotButton="0" quotePrefix="0" xfId="0">
      <alignment horizontal="center" vertical="center"/>
    </xf>
    <xf numFmtId="167" fontId="1" fillId="7" borderId="38" applyAlignment="1" pivotButton="0" quotePrefix="0" xfId="0">
      <alignment horizontal="center" vertical="center"/>
    </xf>
    <xf numFmtId="0" fontId="1" fillId="7" borderId="38" applyAlignment="1" pivotButton="0" quotePrefix="0" xfId="0">
      <alignment horizontal="center" vertical="center" wrapText="1"/>
    </xf>
    <xf numFmtId="0" fontId="2" fillId="0" borderId="39" pivotButton="0" quotePrefix="0" xfId="0"/>
    <xf numFmtId="0" fontId="2" fillId="0" borderId="40" pivotButton="0" quotePrefix="0" xfId="0"/>
    <xf numFmtId="0" fontId="9" fillId="7" borderId="38" applyAlignment="1" pivotButton="0" quotePrefix="0" xfId="0">
      <alignment horizontal="center" vertical="center" wrapText="1"/>
    </xf>
    <xf numFmtId="49" fontId="9" fillId="7" borderId="38" applyAlignment="1" pivotButton="0" quotePrefix="0" xfId="0">
      <alignment horizontal="center" vertical="center" wrapText="1"/>
    </xf>
    <xf numFmtId="0" fontId="9" fillId="7" borderId="38" applyAlignment="1" pivotButton="0" quotePrefix="0" xfId="0">
      <alignment horizontal="center" vertical="center"/>
    </xf>
    <xf numFmtId="10" fontId="1" fillId="7" borderId="38" applyAlignment="1" pivotButton="0" quotePrefix="0" xfId="0">
      <alignment horizontal="center" vertical="center" wrapText="1"/>
    </xf>
    <xf numFmtId="40" fontId="1" fillId="7" borderId="38" applyAlignment="1" pivotButton="0" quotePrefix="0" xfId="0">
      <alignment horizontal="center" vertical="center" wrapText="1"/>
    </xf>
    <xf numFmtId="172" fontId="1" fillId="7" borderId="38" applyAlignment="1" pivotButton="0" quotePrefix="0" xfId="0">
      <alignment horizontal="center" vertical="center"/>
    </xf>
    <xf numFmtId="0" fontId="1" fillId="7" borderId="38" applyAlignment="1" pivotButton="0" quotePrefix="0" xfId="0">
      <alignment horizontal="center" vertical="center"/>
    </xf>
    <xf numFmtId="165" fontId="1" fillId="7" borderId="38" applyAlignment="1" pivotButton="0" quotePrefix="0" xfId="0">
      <alignment vertical="center"/>
    </xf>
    <xf numFmtId="165" fontId="1" fillId="7" borderId="41" applyAlignment="1" pivotButton="0" quotePrefix="0" xfId="0">
      <alignment vertical="center"/>
    </xf>
    <xf numFmtId="171" fontId="1" fillId="0" borderId="42" applyAlignment="1" pivotButton="0" quotePrefix="0" xfId="0">
      <alignment horizontal="center" vertical="center"/>
    </xf>
    <xf numFmtId="171" fontId="1" fillId="0" borderId="43" applyAlignment="1" pivotButton="0" quotePrefix="0" xfId="0">
      <alignment horizontal="center" vertical="center"/>
    </xf>
    <xf numFmtId="173" fontId="1" fillId="0" borderId="44" applyAlignment="1" pivotButton="0" quotePrefix="0" xfId="0">
      <alignment horizontal="center" vertical="center"/>
    </xf>
    <xf numFmtId="173" fontId="1" fillId="0" borderId="43" applyAlignment="1" pivotButton="0" quotePrefix="0" xfId="0">
      <alignment horizontal="center" vertical="center"/>
    </xf>
    <xf numFmtId="10" fontId="1" fillId="0" borderId="45" applyAlignment="1" pivotButton="0" quotePrefix="0" xfId="0">
      <alignment horizontal="center" vertical="center"/>
    </xf>
    <xf numFmtId="171" fontId="1" fillId="0" borderId="46" applyAlignment="1" pivotButton="0" quotePrefix="0" xfId="0">
      <alignment horizontal="center" vertical="center"/>
    </xf>
    <xf numFmtId="171" fontId="1" fillId="0" borderId="37" applyAlignment="1" pivotButton="0" quotePrefix="0" xfId="0">
      <alignment horizontal="center" vertical="center"/>
    </xf>
    <xf numFmtId="171" fontId="1" fillId="0" borderId="38" applyAlignment="1" pivotButton="0" quotePrefix="0" xfId="0">
      <alignment horizontal="center" vertical="center"/>
    </xf>
    <xf numFmtId="171" fontId="1" fillId="0" borderId="38" applyAlignment="1" pivotButton="0" quotePrefix="0" xfId="0">
      <alignment vertical="center"/>
    </xf>
    <xf numFmtId="173" fontId="1" fillId="0" borderId="38" applyAlignment="1" pivotButton="0" quotePrefix="0" xfId="0">
      <alignment vertical="center"/>
    </xf>
    <xf numFmtId="171" fontId="1" fillId="0" borderId="47" applyAlignment="1" pivotButton="0" quotePrefix="0" xfId="0">
      <alignment vertical="center"/>
    </xf>
    <xf numFmtId="38" fontId="2" fillId="0" borderId="0" applyAlignment="1" pivotButton="0" quotePrefix="0" xfId="0">
      <alignment horizontal="center" vertical="center"/>
    </xf>
    <xf numFmtId="171" fontId="2" fillId="0" borderId="0" applyAlignment="1" pivotButton="0" quotePrefix="0" xfId="0">
      <alignment vertical="center"/>
    </xf>
    <xf numFmtId="0" fontId="2" fillId="0" borderId="18" pivotButton="0" quotePrefix="0" xfId="0"/>
    <xf numFmtId="0" fontId="2" fillId="0" borderId="48" pivotButton="0" quotePrefix="0" xfId="0"/>
    <xf numFmtId="0" fontId="2" fillId="0" borderId="49" pivotButton="0" quotePrefix="0" xfId="0"/>
    <xf numFmtId="0" fontId="1" fillId="7" borderId="50" applyAlignment="1" pivotButton="0" quotePrefix="0" xfId="0">
      <alignment horizontal="center" vertical="center" wrapText="1"/>
    </xf>
    <xf numFmtId="172" fontId="1" fillId="7" borderId="50" applyAlignment="1" pivotButton="0" quotePrefix="0" xfId="0">
      <alignment horizontal="center" vertical="center"/>
    </xf>
    <xf numFmtId="0" fontId="1" fillId="7" borderId="50" applyAlignment="1" pivotButton="0" quotePrefix="0" xfId="0">
      <alignment horizontal="center" vertical="center"/>
    </xf>
    <xf numFmtId="165" fontId="1" fillId="7" borderId="50" applyAlignment="1" pivotButton="0" quotePrefix="0" xfId="0">
      <alignment vertical="center"/>
    </xf>
    <xf numFmtId="165" fontId="1" fillId="7" borderId="51" applyAlignment="1" pivotButton="0" quotePrefix="0" xfId="0">
      <alignment vertical="center"/>
    </xf>
    <xf numFmtId="0" fontId="2" fillId="0" borderId="52" pivotButton="0" quotePrefix="0" xfId="0"/>
    <xf numFmtId="0" fontId="2" fillId="0" borderId="53" pivotButton="0" quotePrefix="0" xfId="0"/>
    <xf numFmtId="171" fontId="1" fillId="0" borderId="50" applyAlignment="1" pivotButton="0" quotePrefix="0" xfId="0">
      <alignment vertical="center"/>
    </xf>
    <xf numFmtId="173" fontId="1" fillId="0" borderId="54" applyAlignment="1" pivotButton="0" quotePrefix="0" xfId="0">
      <alignment vertical="center"/>
    </xf>
    <xf numFmtId="0" fontId="2" fillId="0" borderId="42" pivotButton="0" quotePrefix="0" xfId="0"/>
    <xf numFmtId="0" fontId="2" fillId="0" borderId="43" pivotButton="0" quotePrefix="0" xfId="0"/>
    <xf numFmtId="0" fontId="1" fillId="7" borderId="55" applyAlignment="1" pivotButton="0" quotePrefix="0" xfId="0">
      <alignment horizontal="center" vertical="center" wrapText="1"/>
    </xf>
    <xf numFmtId="0" fontId="2" fillId="0" borderId="56" pivotButton="0" quotePrefix="0" xfId="0"/>
    <xf numFmtId="0" fontId="2" fillId="0" borderId="57" pivotButton="0" quotePrefix="0" xfId="0"/>
    <xf numFmtId="172" fontId="1" fillId="7" borderId="55" applyAlignment="1" pivotButton="0" quotePrefix="0" xfId="0">
      <alignment horizontal="center" vertical="center"/>
    </xf>
    <xf numFmtId="0" fontId="1" fillId="7" borderId="55" applyAlignment="1" pivotButton="0" quotePrefix="0" xfId="0">
      <alignment horizontal="center" vertical="center"/>
    </xf>
    <xf numFmtId="165" fontId="1" fillId="7" borderId="55" applyAlignment="1" pivotButton="0" quotePrefix="0" xfId="0">
      <alignment vertical="center"/>
    </xf>
    <xf numFmtId="165" fontId="1" fillId="7" borderId="58" applyAlignment="1" pivotButton="0" quotePrefix="0" xfId="0">
      <alignment vertical="center"/>
    </xf>
    <xf numFmtId="0" fontId="2" fillId="0" borderId="44" pivotButton="0" quotePrefix="0" xfId="0"/>
    <xf numFmtId="0" fontId="2" fillId="0" borderId="45" pivotButton="0" quotePrefix="0" xfId="0"/>
    <xf numFmtId="0" fontId="2" fillId="0" borderId="46" pivotButton="0" quotePrefix="0" xfId="0"/>
    <xf numFmtId="171" fontId="1" fillId="0" borderId="55" applyAlignment="1" pivotButton="0" quotePrefix="0" xfId="0">
      <alignment vertical="center"/>
    </xf>
    <xf numFmtId="173" fontId="1" fillId="0" borderId="59" applyAlignment="1" pivotButton="0" quotePrefix="0" xfId="0">
      <alignment vertical="center"/>
    </xf>
    <xf numFmtId="0" fontId="2" fillId="0" borderId="36" pivotButton="0" quotePrefix="0" xfId="0"/>
    <xf numFmtId="174" fontId="12" fillId="8" borderId="60" applyAlignment="1" pivotButton="0" quotePrefix="0" xfId="0">
      <alignment horizontal="center" vertical="center"/>
    </xf>
    <xf numFmtId="0" fontId="2" fillId="0" borderId="61" pivotButton="0" quotePrefix="0" xfId="0"/>
    <xf numFmtId="4" fontId="12" fillId="8" borderId="62" applyAlignment="1" pivotButton="0" quotePrefix="0" xfId="0">
      <alignment vertical="center"/>
    </xf>
    <xf numFmtId="3" fontId="12" fillId="8" borderId="62" applyAlignment="1" pivotButton="0" quotePrefix="0" xfId="0">
      <alignment vertical="center"/>
    </xf>
    <xf numFmtId="175" fontId="12" fillId="8" borderId="63" applyAlignment="1" pivotButton="0" quotePrefix="0" xfId="0">
      <alignment horizontal="center" vertical="center" wrapText="1"/>
    </xf>
    <xf numFmtId="0" fontId="2" fillId="0" borderId="64" pivotButton="0" quotePrefix="0" xfId="0"/>
    <xf numFmtId="0" fontId="2" fillId="0" borderId="65" pivotButton="0" quotePrefix="0" xfId="0"/>
    <xf numFmtId="165" fontId="12" fillId="8" borderId="66" applyAlignment="1" pivotButton="0" quotePrefix="0" xfId="0">
      <alignment horizontal="center" vertical="center" wrapText="1"/>
    </xf>
    <xf numFmtId="165" fontId="12" fillId="8" borderId="63" applyAlignment="1" pivotButton="0" quotePrefix="0" xfId="0">
      <alignment horizontal="center" vertical="center" wrapText="1"/>
    </xf>
    <xf numFmtId="165" fontId="12" fillId="8" borderId="67" applyAlignment="1" pivotButton="0" quotePrefix="0" xfId="0">
      <alignment horizontal="center" vertical="center" wrapText="1"/>
    </xf>
    <xf numFmtId="167" fontId="12" fillId="8" borderId="67" applyAlignment="1" pivotButton="0" quotePrefix="0" xfId="0">
      <alignment horizontal="right" vertical="center" wrapText="1"/>
    </xf>
    <xf numFmtId="10" fontId="12" fillId="8" borderId="68" applyAlignment="1" pivotButton="0" quotePrefix="0" xfId="0">
      <alignment horizontal="center" vertical="center" wrapText="1"/>
    </xf>
    <xf numFmtId="165" fontId="12" fillId="8" borderId="69" applyAlignment="1" pivotButton="0" quotePrefix="0" xfId="0">
      <alignment horizontal="center" vertical="center" wrapText="1"/>
    </xf>
    <xf numFmtId="165" fontId="12" fillId="8" borderId="65" applyAlignment="1" pivotButton="0" quotePrefix="0" xfId="0">
      <alignment horizontal="center" vertical="center" wrapText="1"/>
    </xf>
    <xf numFmtId="176" fontId="12" fillId="8" borderId="67" applyAlignment="1" pivotButton="0" quotePrefix="0" xfId="0">
      <alignment horizontal="right" vertical="center" wrapText="1"/>
    </xf>
    <xf numFmtId="167" fontId="12" fillId="8" borderId="69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77" fontId="1" fillId="0" borderId="0" applyAlignment="1" pivotButton="0" quotePrefix="0" xfId="0">
      <alignment horizontal="center" vertical="center"/>
    </xf>
    <xf numFmtId="4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165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10" fontId="1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/>
    </xf>
    <xf numFmtId="171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X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.8984375" customWidth="1" min="1" max="1"/>
    <col width="9.19921875" customWidth="1" min="2" max="2"/>
    <col width="6.69921875" customWidth="1" min="3" max="3"/>
    <col width="9.09765625" customWidth="1" min="4" max="4"/>
    <col width="8.69921875" customWidth="1" min="5" max="5"/>
    <col width="13.3984375" customWidth="1" min="6" max="6"/>
    <col width="13.5" customWidth="1" min="7" max="7"/>
    <col width="16.59765625" customWidth="1" min="8" max="8"/>
    <col width="13.3984375" customWidth="1" min="9" max="9"/>
    <col width="13.5" customWidth="1" min="10" max="10"/>
    <col width="16.59765625" customWidth="1" min="11" max="11"/>
    <col width="11.8984375" customWidth="1" min="12" max="12"/>
    <col width="1.8984375" customWidth="1" min="13" max="13"/>
    <col width="16.09765625" customWidth="1" min="14" max="14"/>
    <col width="5.09765625" customWidth="1" min="15" max="15"/>
    <col width="1.59765625" customWidth="1" min="16" max="16"/>
    <col width="5" customWidth="1" min="17" max="17"/>
    <col width="10.69921875" customWidth="1" min="18" max="18"/>
    <col width="9.59765625" customWidth="1" min="19" max="19"/>
    <col width="13" customWidth="1" min="20" max="20"/>
    <col width="10.69921875" customWidth="1" min="21" max="21"/>
    <col width="10.69921875" customWidth="1" min="22" max="22"/>
    <col width="12.19921875" customWidth="1" min="23" max="23"/>
    <col width="14" customWidth="1" min="24" max="24"/>
    <col width="5" customWidth="1" min="25" max="25"/>
    <col width="10.59765625" customWidth="1" min="26" max="26"/>
    <col width="13" customWidth="1" min="27" max="27"/>
    <col width="11.69921875" customWidth="1" min="28" max="28"/>
    <col width="13" customWidth="1" min="29" max="29"/>
    <col width="13" customWidth="1" min="30" max="30"/>
    <col width="13" customWidth="1" min="31" max="31"/>
    <col width="10.59765625" customWidth="1" min="32" max="32"/>
    <col width="14.19921875" customWidth="1" min="33" max="33"/>
    <col width="16.09765625" customWidth="1" min="34" max="34"/>
    <col width="12.5" customWidth="1" min="35" max="35"/>
    <col width="13.5" customWidth="1" min="36" max="36"/>
    <col width="10.3984375" customWidth="1" min="37" max="37"/>
    <col width="14.09765625" customWidth="1" min="38" max="38"/>
    <col width="10.3984375" customWidth="1" min="39" max="39"/>
    <col width="13" customWidth="1" min="40" max="40"/>
    <col width="13" customWidth="1" min="41" max="41"/>
    <col width="13" customWidth="1" min="42" max="42"/>
    <col width="11" customWidth="1" min="43" max="43"/>
    <col width="10.59765625" customWidth="1" min="44" max="44"/>
    <col width="8.8984375" customWidth="1" min="45" max="45"/>
    <col width="13.09765625" customWidth="1" min="46" max="46"/>
    <col width="12.5" customWidth="1" min="47" max="47"/>
    <col width="11.19921875" customWidth="1" min="48" max="48"/>
    <col width="11.19921875" customWidth="1" min="49" max="49"/>
    <col width="13" customWidth="1" min="50" max="50"/>
  </cols>
  <sheetData>
    <row r="1" ht="35.25" customHeight="1">
      <c r="A1" s="1" t="inlineStr">
        <is>
          <t>地段號</t>
        </is>
      </c>
      <c r="B1" s="2" t="n"/>
      <c r="C1" s="3" t="inlineStr">
        <is>
          <t>使用
分區</t>
        </is>
      </c>
      <c r="D1" s="3" t="inlineStr">
        <is>
          <t>土地面積</t>
        </is>
      </c>
      <c r="E1" s="2" t="n"/>
      <c r="F1" s="3" t="inlineStr">
        <is>
          <t>113年公告現值</t>
        </is>
      </c>
      <c r="G1" s="4" t="n"/>
      <c r="H1" s="3" t="inlineStr">
        <is>
          <t>總公告現值
(元)</t>
        </is>
      </c>
      <c r="I1" s="3" t="inlineStr">
        <is>
          <t>113年公告地價</t>
        </is>
      </c>
      <c r="J1" s="4" t="n"/>
      <c r="K1" s="3" t="inlineStr">
        <is>
          <t>總公告地價
(元)</t>
        </is>
      </c>
      <c r="L1" s="5" t="inlineStr">
        <is>
          <t>所有權人</t>
        </is>
      </c>
      <c r="M1" s="6" t="n"/>
      <c r="N1" s="2" t="n"/>
      <c r="O1" s="7" t="inlineStr">
        <is>
          <t>持分
比例</t>
        </is>
      </c>
      <c r="P1" s="6" t="n"/>
      <c r="Q1" s="2" t="n"/>
      <c r="R1" s="8" t="inlineStr">
        <is>
          <t>持分面積</t>
        </is>
      </c>
      <c r="S1" s="3" t="inlineStr">
        <is>
          <t>土地
持分</t>
        </is>
      </c>
      <c r="T1" s="3" t="inlineStr">
        <is>
          <t>土地
持分</t>
        </is>
      </c>
      <c r="U1" s="9" t="inlineStr">
        <is>
          <t>土地
持分</t>
        </is>
      </c>
      <c r="V1" s="10" t="inlineStr">
        <is>
          <t>土地
持分</t>
        </is>
      </c>
      <c r="W1" s="11" t="inlineStr">
        <is>
          <t>建號</t>
        </is>
      </c>
      <c r="X1" s="5" t="inlineStr">
        <is>
          <t>門牌</t>
        </is>
      </c>
      <c r="Y1" s="2" t="n"/>
      <c r="Z1" s="12" t="inlineStr">
        <is>
          <t>主建物</t>
        </is>
      </c>
      <c r="AA1" s="2" t="n"/>
      <c r="AB1" s="13" t="inlineStr">
        <is>
          <t>附屬
建物</t>
        </is>
      </c>
      <c r="AC1" s="2" t="n"/>
      <c r="AD1" s="12" t="inlineStr">
        <is>
          <t>共有</t>
        </is>
      </c>
      <c r="AE1" s="2" t="n"/>
      <c r="AF1" s="14" t="inlineStr">
        <is>
          <t>建物
面積</t>
        </is>
      </c>
      <c r="AG1" s="6" t="n"/>
      <c r="AH1" s="15" t="inlineStr">
        <is>
          <t>扣除公梯
後面積</t>
        </is>
      </c>
      <c r="AI1" s="16" t="inlineStr">
        <is>
          <t>所有權人</t>
        </is>
      </c>
      <c r="AJ1" s="17" t="inlineStr">
        <is>
          <t>地主分回</t>
        </is>
      </c>
      <c r="AK1" s="18" t="n"/>
      <c r="AL1" s="19" t="n"/>
      <c r="AM1" s="20" t="inlineStr">
        <is>
          <t>應負擔
興建成本</t>
        </is>
      </c>
      <c r="AN1" s="21" t="n"/>
      <c r="AO1" s="22" t="inlineStr">
        <is>
          <t>實際分回</t>
        </is>
      </c>
      <c r="AP1" s="23" t="n"/>
      <c r="AQ1" s="24" t="inlineStr">
        <is>
          <t>地主分回</t>
        </is>
      </c>
      <c r="AR1" s="2" t="n"/>
      <c r="AS1" s="25" t="inlineStr">
        <is>
          <t>其他相關補貼</t>
        </is>
      </c>
      <c r="AT1" s="6" t="n"/>
      <c r="AU1" s="26" t="n"/>
    </row>
    <row r="2" ht="21.75" customHeight="1">
      <c r="A2" s="27" t="n"/>
      <c r="B2" s="28" t="n"/>
      <c r="C2" s="29" t="n"/>
      <c r="D2" s="30" t="n"/>
      <c r="E2" s="28" t="n"/>
      <c r="F2" s="31" t="n"/>
      <c r="G2" s="32" t="n"/>
      <c r="H2" s="29" t="n"/>
      <c r="I2" s="31" t="n"/>
      <c r="J2" s="32" t="n"/>
      <c r="K2" s="29" t="n"/>
      <c r="L2" s="30" t="n"/>
      <c r="N2" s="28" t="n"/>
      <c r="O2" s="30" t="n"/>
      <c r="Q2" s="28" t="n"/>
      <c r="R2" s="29" t="n"/>
      <c r="S2" s="29" t="n"/>
      <c r="T2" s="29" t="n"/>
      <c r="U2" s="33" t="n"/>
      <c r="V2" s="34" t="n"/>
      <c r="W2" s="35" t="n"/>
      <c r="X2" s="30" t="n"/>
      <c r="Y2" s="28" t="n"/>
      <c r="Z2" s="30" t="n"/>
      <c r="AA2" s="28" t="n"/>
      <c r="AB2" s="30" t="n"/>
      <c r="AC2" s="28" t="n"/>
      <c r="AD2" s="30" t="n"/>
      <c r="AE2" s="28" t="n"/>
      <c r="AF2" s="30" t="n"/>
      <c r="AH2" s="28" t="n"/>
      <c r="AI2" s="30" t="n"/>
      <c r="AJ2" s="36" t="n">
        <v>1</v>
      </c>
      <c r="AK2" s="21" t="n"/>
      <c r="AL2" s="37" t="n"/>
      <c r="AM2" s="37" t="n"/>
      <c r="AN2" s="21" t="n"/>
      <c r="AO2" s="38">
        <f>AJ2-AM2</f>
        <v/>
      </c>
      <c r="AP2" s="23" t="n"/>
      <c r="AQ2" s="39" t="n"/>
      <c r="AR2" s="40" t="n"/>
      <c r="AS2" s="41" t="n"/>
      <c r="AT2" s="42" t="n"/>
      <c r="AU2" s="43" t="n"/>
    </row>
    <row r="3" ht="21.75" customHeight="1">
      <c r="A3" s="27" t="n"/>
      <c r="B3" s="28" t="n"/>
      <c r="C3" s="44" t="n"/>
      <c r="D3" s="41" t="n"/>
      <c r="E3" s="40" t="n"/>
      <c r="F3" s="45" t="inlineStr">
        <is>
          <t>元／㎡</t>
        </is>
      </c>
      <c r="G3" s="3" t="inlineStr">
        <is>
          <t>元／坪</t>
        </is>
      </c>
      <c r="H3" s="44" t="n"/>
      <c r="I3" s="45" t="inlineStr">
        <is>
          <t>元／㎡</t>
        </is>
      </c>
      <c r="J3" s="3" t="inlineStr">
        <is>
          <t>元／坪</t>
        </is>
      </c>
      <c r="K3" s="44" t="n"/>
      <c r="L3" s="30" t="n"/>
      <c r="N3" s="28" t="n"/>
      <c r="O3" s="30" t="n"/>
      <c r="Q3" s="28" t="n"/>
      <c r="R3" s="44" t="n"/>
      <c r="S3" s="44" t="n"/>
      <c r="T3" s="44" t="n"/>
      <c r="U3" s="46" t="n"/>
      <c r="V3" s="34" t="n"/>
      <c r="W3" s="35" t="n"/>
      <c r="X3" s="30" t="n"/>
      <c r="Y3" s="28" t="n"/>
      <c r="Z3" s="41" t="n"/>
      <c r="AA3" s="40" t="n"/>
      <c r="AB3" s="41" t="n"/>
      <c r="AC3" s="40" t="n"/>
      <c r="AD3" s="41" t="n"/>
      <c r="AE3" s="40" t="n"/>
      <c r="AF3" s="41" t="n"/>
      <c r="AG3" s="42" t="n"/>
      <c r="AH3" s="28" t="n"/>
      <c r="AI3" s="30" t="n"/>
      <c r="AJ3" s="47" t="inlineStr">
        <is>
          <t>坪數</t>
        </is>
      </c>
      <c r="AK3" s="48" t="inlineStr">
        <is>
          <t>車位</t>
        </is>
      </c>
      <c r="AL3" s="49" t="inlineStr">
        <is>
          <t>總權利價值(萬)</t>
        </is>
      </c>
      <c r="AM3" s="49" t="inlineStr">
        <is>
          <t>金額(萬)</t>
        </is>
      </c>
      <c r="AN3" s="49" t="inlineStr">
        <is>
          <t>%</t>
        </is>
      </c>
      <c r="AO3" s="49" t="inlineStr">
        <is>
          <t>坪數</t>
        </is>
      </c>
      <c r="AP3" s="38" t="inlineStr">
        <is>
          <t>車位</t>
        </is>
      </c>
      <c r="AQ3" s="50" t="inlineStr">
        <is>
          <t>坪數</t>
        </is>
      </c>
      <c r="AR3" s="51" t="inlineStr">
        <is>
          <t>車位</t>
        </is>
      </c>
      <c r="AS3" s="51" t="inlineStr">
        <is>
          <t>搬遷費</t>
        </is>
      </c>
      <c r="AT3" s="52" t="inlineStr">
        <is>
          <t>租金補貼</t>
        </is>
      </c>
      <c r="AU3" s="53" t="n"/>
    </row>
    <row r="4" ht="18" customHeight="1">
      <c r="A4" s="27" t="n"/>
      <c r="B4" s="28" t="n"/>
      <c r="C4" s="7" t="n"/>
      <c r="D4" s="54" t="inlineStr">
        <is>
          <t>㎡</t>
        </is>
      </c>
      <c r="E4" s="7" t="inlineStr">
        <is>
          <t>坪</t>
        </is>
      </c>
      <c r="F4" s="5" t="n"/>
      <c r="G4" s="7" t="n"/>
      <c r="H4" s="7" t="n"/>
      <c r="I4" s="5" t="n"/>
      <c r="J4" s="7" t="n"/>
      <c r="K4" s="7" t="n"/>
      <c r="L4" s="30" t="n"/>
      <c r="N4" s="28" t="n"/>
      <c r="O4" s="30" t="n"/>
      <c r="Q4" s="28" t="n"/>
      <c r="R4" s="54" t="inlineStr">
        <is>
          <t>㎡</t>
        </is>
      </c>
      <c r="S4" s="7" t="inlineStr">
        <is>
          <t>坪</t>
        </is>
      </c>
      <c r="T4" s="7" t="inlineStr">
        <is>
          <t>坪</t>
        </is>
      </c>
      <c r="U4" s="55" t="inlineStr">
        <is>
          <t>%</t>
        </is>
      </c>
      <c r="V4" s="56" t="n"/>
      <c r="W4" s="35" t="n"/>
      <c r="X4" s="30" t="n"/>
      <c r="Y4" s="28" t="n"/>
      <c r="Z4" s="54" t="inlineStr">
        <is>
          <t>㎡</t>
        </is>
      </c>
      <c r="AA4" s="54" t="inlineStr">
        <is>
          <t>坪</t>
        </is>
      </c>
      <c r="AB4" s="54" t="inlineStr">
        <is>
          <t>㎡</t>
        </is>
      </c>
      <c r="AC4" s="54" t="inlineStr">
        <is>
          <t>坪</t>
        </is>
      </c>
      <c r="AD4" s="54" t="inlineStr">
        <is>
          <t>㎡</t>
        </is>
      </c>
      <c r="AE4" s="54" t="inlineStr">
        <is>
          <t>坪</t>
        </is>
      </c>
      <c r="AF4" s="54" t="inlineStr">
        <is>
          <t>㎡</t>
        </is>
      </c>
      <c r="AG4" s="57" t="inlineStr">
        <is>
          <t>坪</t>
        </is>
      </c>
      <c r="AH4" s="58" t="n">
        <v>0.07000000000000001</v>
      </c>
      <c r="AI4" s="30" t="n"/>
      <c r="AJ4" s="59" t="n"/>
      <c r="AK4" s="60" t="n"/>
      <c r="AL4" s="61" t="n"/>
      <c r="AM4" s="61" t="n"/>
      <c r="AN4" s="62">
        <f>AM4/AL4</f>
        <v/>
      </c>
      <c r="AO4" s="60">
        <f>AJ4*AO2</f>
        <v/>
      </c>
      <c r="AP4" s="63">
        <f>AK4*AO2</f>
        <v/>
      </c>
      <c r="AQ4" s="64" t="n"/>
      <c r="AR4" s="65" t="n"/>
      <c r="AS4" s="66" t="n">
        <v>5</v>
      </c>
      <c r="AT4" s="67" t="n">
        <v>1000</v>
      </c>
      <c r="AU4" s="68" t="n">
        <v>800</v>
      </c>
      <c r="AV4" s="69" t="inlineStr">
        <is>
          <t>意願調查</t>
        </is>
      </c>
    </row>
    <row r="5" ht="16.2" customHeight="1">
      <c r="A5" s="70" t="n"/>
      <c r="B5" s="71" t="n"/>
      <c r="C5" s="72" t="n"/>
      <c r="D5" s="73" t="n"/>
      <c r="E5" s="74" t="n"/>
      <c r="F5" s="75" t="n"/>
      <c r="G5" s="75" t="n"/>
      <c r="H5" s="75" t="n"/>
      <c r="I5" s="75" t="n"/>
      <c r="J5" s="75" t="n"/>
      <c r="K5" s="75" t="n"/>
      <c r="L5" s="76" t="n"/>
      <c r="M5" s="77" t="n"/>
      <c r="N5" s="78" t="n"/>
      <c r="O5" s="79" t="n"/>
      <c r="P5" s="80" t="n"/>
      <c r="Q5" s="81" t="n"/>
      <c r="R5" s="74" t="n"/>
      <c r="S5" s="74" t="n"/>
      <c r="T5" s="74" t="n"/>
      <c r="U5" s="82" t="n"/>
      <c r="V5" s="83" t="n"/>
      <c r="W5" s="84" t="n"/>
      <c r="X5" s="85" t="n"/>
      <c r="Y5" s="85" t="n"/>
      <c r="Z5" s="86" t="n"/>
      <c r="AA5" s="86" t="n"/>
      <c r="AB5" s="86" t="n"/>
      <c r="AC5" s="86" t="n"/>
      <c r="AD5" s="86" t="n"/>
      <c r="AE5" s="86" t="n"/>
      <c r="AF5" s="86" t="n"/>
      <c r="AG5" s="86" t="n"/>
      <c r="AH5" s="86" t="n"/>
      <c r="AI5" s="87" t="n"/>
      <c r="AJ5" s="88" t="n"/>
      <c r="AK5" s="89" t="n"/>
      <c r="AL5" s="90" t="n"/>
      <c r="AM5" s="91" t="n"/>
      <c r="AN5" s="92" t="n"/>
      <c r="AO5" s="89" t="n"/>
      <c r="AP5" s="93" t="n"/>
      <c r="AQ5" s="94" t="n"/>
      <c r="AR5" s="95" t="n"/>
      <c r="AS5" s="96" t="n"/>
      <c r="AT5" s="97" t="n"/>
      <c r="AU5" s="98" t="n"/>
      <c r="AV5" s="99" t="n"/>
      <c r="AW5" s="100" t="n"/>
      <c r="AX5" s="100" t="n"/>
    </row>
    <row r="6" ht="15.6" customHeight="1">
      <c r="A6" s="101" t="n"/>
      <c r="B6" s="102" t="n"/>
      <c r="C6" s="103" t="n"/>
      <c r="D6" s="103" t="n"/>
      <c r="E6" s="103" t="n"/>
      <c r="F6" s="103" t="n"/>
      <c r="G6" s="103" t="n"/>
      <c r="H6" s="103" t="n"/>
      <c r="I6" s="103" t="n"/>
      <c r="J6" s="103" t="n"/>
      <c r="K6" s="103" t="n"/>
      <c r="L6" s="104" t="n"/>
      <c r="M6" s="104" t="n"/>
      <c r="N6" s="104" t="n"/>
      <c r="O6" s="103" t="n"/>
      <c r="P6" s="103" t="n"/>
      <c r="Q6" s="103" t="n"/>
      <c r="R6" s="103" t="n"/>
      <c r="S6" s="103" t="n"/>
      <c r="T6" s="103" t="n"/>
      <c r="U6" s="103" t="n"/>
      <c r="V6" s="83" t="n"/>
      <c r="W6" s="105" t="n"/>
      <c r="X6" s="106" t="n"/>
      <c r="Y6" s="106" t="n"/>
      <c r="Z6" s="107" t="n"/>
      <c r="AA6" s="107" t="n"/>
      <c r="AB6" s="107" t="n"/>
      <c r="AC6" s="107" t="n"/>
      <c r="AD6" s="107" t="n"/>
      <c r="AE6" s="107" t="n"/>
      <c r="AF6" s="107" t="n"/>
      <c r="AG6" s="107" t="n"/>
      <c r="AH6" s="86" t="n"/>
      <c r="AI6" s="108" t="n"/>
      <c r="AJ6" s="102" t="n"/>
      <c r="AK6" s="103" t="n"/>
      <c r="AL6" s="103" t="n"/>
      <c r="AM6" s="103" t="n"/>
      <c r="AN6" s="109" t="n"/>
      <c r="AO6" s="103" t="n"/>
      <c r="AP6" s="110" t="n"/>
      <c r="AQ6" s="102" t="n"/>
      <c r="AR6" s="103" t="n"/>
      <c r="AS6" s="111" t="n"/>
      <c r="AT6" s="111" t="n"/>
      <c r="AU6" s="112" t="n"/>
      <c r="AV6" s="99" t="n"/>
      <c r="AW6" s="100" t="n"/>
    </row>
    <row r="7" ht="15.6" customHeight="1">
      <c r="A7" s="101" t="n"/>
      <c r="B7" s="102" t="n"/>
      <c r="C7" s="103" t="n"/>
      <c r="D7" s="103" t="n"/>
      <c r="E7" s="103" t="n"/>
      <c r="F7" s="103" t="n"/>
      <c r="G7" s="103" t="n"/>
      <c r="H7" s="103" t="n"/>
      <c r="I7" s="103" t="n"/>
      <c r="J7" s="103" t="n"/>
      <c r="K7" s="103" t="n"/>
      <c r="L7" s="104" t="n"/>
      <c r="M7" s="104" t="n"/>
      <c r="N7" s="104" t="n"/>
      <c r="O7" s="103" t="n"/>
      <c r="P7" s="103" t="n"/>
      <c r="Q7" s="103" t="n"/>
      <c r="R7" s="103" t="n"/>
      <c r="S7" s="103" t="n"/>
      <c r="T7" s="103" t="n"/>
      <c r="U7" s="103" t="n"/>
      <c r="V7" s="83" t="n"/>
      <c r="W7" s="105" t="n"/>
      <c r="X7" s="106" t="n"/>
      <c r="Y7" s="106" t="n"/>
      <c r="Z7" s="107" t="n"/>
      <c r="AA7" s="107" t="n"/>
      <c r="AB7" s="107" t="n"/>
      <c r="AC7" s="107" t="n"/>
      <c r="AD7" s="107" t="n"/>
      <c r="AE7" s="107" t="n"/>
      <c r="AF7" s="107" t="n"/>
      <c r="AG7" s="107" t="n"/>
      <c r="AH7" s="86" t="n"/>
      <c r="AI7" s="108" t="n"/>
      <c r="AJ7" s="102" t="n"/>
      <c r="AK7" s="103" t="n"/>
      <c r="AL7" s="103" t="n"/>
      <c r="AM7" s="103" t="n"/>
      <c r="AN7" s="109" t="n"/>
      <c r="AO7" s="103" t="n"/>
      <c r="AP7" s="110" t="n"/>
      <c r="AQ7" s="102" t="n"/>
      <c r="AR7" s="103" t="n"/>
      <c r="AS7" s="111" t="n"/>
      <c r="AT7" s="111" t="n"/>
      <c r="AU7" s="112" t="n"/>
      <c r="AV7" s="99" t="n"/>
      <c r="AW7" s="100" t="n"/>
    </row>
    <row r="8" ht="15.6" customHeight="1">
      <c r="A8" s="101" t="n"/>
      <c r="B8" s="102" t="n"/>
      <c r="C8" s="103" t="n"/>
      <c r="D8" s="103" t="n"/>
      <c r="E8" s="103" t="n"/>
      <c r="F8" s="103" t="n"/>
      <c r="G8" s="103" t="n"/>
      <c r="H8" s="103" t="n"/>
      <c r="I8" s="103" t="n"/>
      <c r="J8" s="103" t="n"/>
      <c r="K8" s="103" t="n"/>
      <c r="L8" s="104" t="n"/>
      <c r="M8" s="104" t="n"/>
      <c r="N8" s="104" t="n"/>
      <c r="O8" s="103" t="n"/>
      <c r="P8" s="103" t="n"/>
      <c r="Q8" s="103" t="n"/>
      <c r="R8" s="103" t="n"/>
      <c r="S8" s="103" t="n"/>
      <c r="T8" s="103" t="n"/>
      <c r="U8" s="103" t="n"/>
      <c r="V8" s="83" t="n"/>
      <c r="W8" s="105" t="n"/>
      <c r="X8" s="106" t="n"/>
      <c r="Y8" s="106" t="n"/>
      <c r="Z8" s="107" t="n"/>
      <c r="AA8" s="107" t="n"/>
      <c r="AB8" s="107" t="n"/>
      <c r="AC8" s="107" t="n"/>
      <c r="AD8" s="107" t="n"/>
      <c r="AE8" s="107" t="n"/>
      <c r="AF8" s="107" t="n"/>
      <c r="AG8" s="107" t="n"/>
      <c r="AH8" s="86" t="n"/>
      <c r="AI8" s="108" t="n"/>
      <c r="AJ8" s="102" t="n"/>
      <c r="AK8" s="103" t="n"/>
      <c r="AL8" s="103" t="n"/>
      <c r="AM8" s="103" t="n"/>
      <c r="AN8" s="109" t="n"/>
      <c r="AO8" s="103" t="n"/>
      <c r="AP8" s="110" t="n"/>
      <c r="AQ8" s="102" t="n"/>
      <c r="AR8" s="103" t="n"/>
      <c r="AS8" s="111" t="n"/>
      <c r="AT8" s="111" t="n"/>
      <c r="AU8" s="112" t="n"/>
      <c r="AV8" s="99" t="n"/>
      <c r="AW8" s="100" t="n"/>
    </row>
    <row r="9" ht="15.6" customHeight="1">
      <c r="A9" s="101" t="n"/>
      <c r="B9" s="102" t="n"/>
      <c r="C9" s="103" t="n"/>
      <c r="D9" s="103" t="n"/>
      <c r="E9" s="103" t="n"/>
      <c r="F9" s="103" t="n"/>
      <c r="G9" s="103" t="n"/>
      <c r="H9" s="103" t="n"/>
      <c r="I9" s="103" t="n"/>
      <c r="J9" s="103" t="n"/>
      <c r="K9" s="103" t="n"/>
      <c r="L9" s="104" t="n"/>
      <c r="M9" s="104" t="n"/>
      <c r="N9" s="104" t="n"/>
      <c r="O9" s="103" t="n"/>
      <c r="P9" s="103" t="n"/>
      <c r="Q9" s="103" t="n"/>
      <c r="R9" s="103" t="n"/>
      <c r="S9" s="103" t="n"/>
      <c r="T9" s="103" t="n"/>
      <c r="U9" s="103" t="n"/>
      <c r="V9" s="83" t="n"/>
      <c r="W9" s="105" t="n"/>
      <c r="X9" s="106" t="n"/>
      <c r="Y9" s="106" t="n"/>
      <c r="Z9" s="107" t="n"/>
      <c r="AA9" s="107" t="n"/>
      <c r="AB9" s="107" t="n"/>
      <c r="AC9" s="107" t="n"/>
      <c r="AD9" s="107" t="n"/>
      <c r="AE9" s="107" t="n"/>
      <c r="AF9" s="107" t="n"/>
      <c r="AG9" s="107" t="n"/>
      <c r="AH9" s="86" t="n"/>
      <c r="AI9" s="108" t="n"/>
      <c r="AJ9" s="102" t="n"/>
      <c r="AK9" s="103" t="n"/>
      <c r="AL9" s="103" t="n"/>
      <c r="AM9" s="103" t="n"/>
      <c r="AN9" s="109" t="n"/>
      <c r="AO9" s="103" t="n"/>
      <c r="AP9" s="110" t="n"/>
      <c r="AQ9" s="102" t="n"/>
      <c r="AR9" s="103" t="n"/>
      <c r="AS9" s="111" t="n"/>
      <c r="AT9" s="111" t="n"/>
      <c r="AU9" s="112" t="n"/>
      <c r="AV9" s="99" t="n"/>
      <c r="AW9" s="100" t="n"/>
    </row>
    <row r="10" ht="15.6" customHeight="1">
      <c r="A10" s="101" t="n"/>
      <c r="B10" s="102" t="n"/>
      <c r="C10" s="103" t="n"/>
      <c r="D10" s="103" t="n"/>
      <c r="E10" s="103" t="n"/>
      <c r="F10" s="103" t="n"/>
      <c r="G10" s="103" t="n"/>
      <c r="H10" s="103" t="n"/>
      <c r="I10" s="103" t="n"/>
      <c r="J10" s="103" t="n"/>
      <c r="K10" s="103" t="n"/>
      <c r="L10" s="104" t="n"/>
      <c r="M10" s="104" t="n"/>
      <c r="N10" s="104" t="n"/>
      <c r="O10" s="103" t="n"/>
      <c r="P10" s="103" t="n"/>
      <c r="Q10" s="103" t="n"/>
      <c r="R10" s="103" t="n"/>
      <c r="S10" s="103" t="n"/>
      <c r="T10" s="103" t="n"/>
      <c r="U10" s="103" t="n"/>
      <c r="V10" s="83" t="n"/>
      <c r="W10" s="105" t="n"/>
      <c r="X10" s="106" t="n"/>
      <c r="Y10" s="106" t="n"/>
      <c r="Z10" s="107" t="n"/>
      <c r="AA10" s="107" t="n"/>
      <c r="AB10" s="107" t="n"/>
      <c r="AC10" s="107" t="n"/>
      <c r="AD10" s="107" t="n"/>
      <c r="AE10" s="107" t="n"/>
      <c r="AF10" s="107" t="n"/>
      <c r="AG10" s="107" t="n"/>
      <c r="AH10" s="86" t="n"/>
      <c r="AI10" s="108" t="n"/>
      <c r="AJ10" s="102" t="n"/>
      <c r="AK10" s="103" t="n"/>
      <c r="AL10" s="103" t="n"/>
      <c r="AM10" s="103" t="n"/>
      <c r="AN10" s="109" t="n"/>
      <c r="AO10" s="103" t="n"/>
      <c r="AP10" s="110" t="n"/>
      <c r="AQ10" s="102" t="n"/>
      <c r="AR10" s="103" t="n"/>
      <c r="AS10" s="111" t="n"/>
      <c r="AT10" s="111" t="n"/>
      <c r="AU10" s="112" t="n"/>
      <c r="AV10" s="99" t="n"/>
      <c r="AW10" s="100" t="n"/>
    </row>
    <row r="11" ht="15.6" customHeight="1">
      <c r="A11" s="101" t="n"/>
      <c r="B11" s="102" t="n"/>
      <c r="C11" s="103" t="n"/>
      <c r="D11" s="103" t="n"/>
      <c r="E11" s="103" t="n"/>
      <c r="F11" s="103" t="n"/>
      <c r="G11" s="103" t="n"/>
      <c r="H11" s="103" t="n"/>
      <c r="I11" s="103" t="n"/>
      <c r="J11" s="103" t="n"/>
      <c r="K11" s="103" t="n"/>
      <c r="L11" s="104" t="n"/>
      <c r="M11" s="104" t="n"/>
      <c r="N11" s="104" t="n"/>
      <c r="O11" s="103" t="n"/>
      <c r="P11" s="103" t="n"/>
      <c r="Q11" s="103" t="n"/>
      <c r="R11" s="103" t="n"/>
      <c r="S11" s="103" t="n"/>
      <c r="T11" s="103" t="n"/>
      <c r="U11" s="103" t="n"/>
      <c r="V11" s="83" t="n"/>
      <c r="W11" s="105" t="n"/>
      <c r="X11" s="106" t="n"/>
      <c r="Y11" s="106" t="n"/>
      <c r="Z11" s="107" t="n"/>
      <c r="AA11" s="107" t="n"/>
      <c r="AB11" s="107" t="n"/>
      <c r="AC11" s="107" t="n"/>
      <c r="AD11" s="107" t="n"/>
      <c r="AE11" s="107" t="n"/>
      <c r="AF11" s="107" t="n"/>
      <c r="AG11" s="107" t="n"/>
      <c r="AH11" s="86" t="n"/>
      <c r="AI11" s="108" t="n"/>
      <c r="AJ11" s="102" t="n"/>
      <c r="AK11" s="103" t="n"/>
      <c r="AL11" s="103" t="n"/>
      <c r="AM11" s="103" t="n"/>
      <c r="AN11" s="109" t="n"/>
      <c r="AO11" s="103" t="n"/>
      <c r="AP11" s="110" t="n"/>
      <c r="AQ11" s="102" t="n"/>
      <c r="AR11" s="103" t="n"/>
      <c r="AS11" s="111" t="n"/>
      <c r="AT11" s="111" t="n"/>
      <c r="AU11" s="112" t="n"/>
      <c r="AV11" s="99" t="n"/>
      <c r="AW11" s="100" t="n"/>
    </row>
    <row r="12" ht="15.6" customHeight="1">
      <c r="A12" s="101" t="n"/>
      <c r="B12" s="102" t="n"/>
      <c r="C12" s="103" t="n"/>
      <c r="D12" s="103" t="n"/>
      <c r="E12" s="103" t="n"/>
      <c r="F12" s="103" t="n"/>
      <c r="G12" s="103" t="n"/>
      <c r="H12" s="103" t="n"/>
      <c r="I12" s="103" t="n"/>
      <c r="J12" s="103" t="n"/>
      <c r="K12" s="103" t="n"/>
      <c r="L12" s="104" t="n"/>
      <c r="M12" s="104" t="n"/>
      <c r="N12" s="104" t="n"/>
      <c r="O12" s="103" t="n"/>
      <c r="P12" s="103" t="n"/>
      <c r="Q12" s="103" t="n"/>
      <c r="R12" s="103" t="n"/>
      <c r="S12" s="103" t="n"/>
      <c r="T12" s="103" t="n"/>
      <c r="U12" s="103" t="n"/>
      <c r="V12" s="83" t="n"/>
      <c r="W12" s="105" t="n"/>
      <c r="X12" s="106" t="n"/>
      <c r="Y12" s="106" t="n"/>
      <c r="Z12" s="107" t="n"/>
      <c r="AA12" s="107" t="n"/>
      <c r="AB12" s="107" t="n"/>
      <c r="AC12" s="107" t="n"/>
      <c r="AD12" s="107" t="n"/>
      <c r="AE12" s="107" t="n"/>
      <c r="AF12" s="107" t="n"/>
      <c r="AG12" s="107" t="n"/>
      <c r="AH12" s="86" t="n"/>
      <c r="AI12" s="108" t="n"/>
      <c r="AJ12" s="102" t="n"/>
      <c r="AK12" s="103" t="n"/>
      <c r="AL12" s="103" t="n"/>
      <c r="AM12" s="103" t="n"/>
      <c r="AN12" s="109" t="n"/>
      <c r="AO12" s="103" t="n"/>
      <c r="AP12" s="110" t="n"/>
      <c r="AQ12" s="102" t="n"/>
      <c r="AR12" s="103" t="n"/>
      <c r="AS12" s="111" t="n"/>
      <c r="AT12" s="111" t="n"/>
      <c r="AU12" s="112" t="n"/>
      <c r="AV12" s="99" t="n"/>
      <c r="AW12" s="100" t="n"/>
    </row>
    <row r="13" ht="15.6" customHeight="1">
      <c r="A13" s="101" t="n"/>
      <c r="B13" s="102" t="n"/>
      <c r="C13" s="103" t="n"/>
      <c r="D13" s="103" t="n"/>
      <c r="E13" s="103" t="n"/>
      <c r="F13" s="103" t="n"/>
      <c r="G13" s="103" t="n"/>
      <c r="H13" s="103" t="n"/>
      <c r="I13" s="103" t="n"/>
      <c r="J13" s="103" t="n"/>
      <c r="K13" s="103" t="n"/>
      <c r="L13" s="104" t="n"/>
      <c r="M13" s="104" t="n"/>
      <c r="N13" s="104" t="n"/>
      <c r="O13" s="103" t="n"/>
      <c r="P13" s="103" t="n"/>
      <c r="Q13" s="103" t="n"/>
      <c r="R13" s="103" t="n"/>
      <c r="S13" s="103" t="n"/>
      <c r="T13" s="103" t="n"/>
      <c r="U13" s="103" t="n"/>
      <c r="V13" s="83" t="n"/>
      <c r="W13" s="105" t="n"/>
      <c r="X13" s="106" t="n"/>
      <c r="Y13" s="106" t="n"/>
      <c r="Z13" s="107" t="n"/>
      <c r="AA13" s="107" t="n"/>
      <c r="AB13" s="107" t="n"/>
      <c r="AC13" s="107" t="n"/>
      <c r="AD13" s="107" t="n"/>
      <c r="AE13" s="107" t="n"/>
      <c r="AF13" s="107" t="n"/>
      <c r="AG13" s="107" t="n"/>
      <c r="AH13" s="86" t="n"/>
      <c r="AI13" s="108" t="n"/>
      <c r="AJ13" s="102" t="n"/>
      <c r="AK13" s="103" t="n"/>
      <c r="AL13" s="103" t="n"/>
      <c r="AM13" s="103" t="n"/>
      <c r="AN13" s="109" t="n"/>
      <c r="AO13" s="103" t="n"/>
      <c r="AP13" s="110" t="n"/>
      <c r="AQ13" s="102" t="n"/>
      <c r="AR13" s="103" t="n"/>
      <c r="AS13" s="111" t="n"/>
      <c r="AT13" s="111" t="n"/>
      <c r="AU13" s="112" t="n"/>
      <c r="AV13" s="99" t="n"/>
      <c r="AW13" s="100" t="n"/>
    </row>
    <row r="14" ht="16.2" customHeight="1">
      <c r="A14" s="101" t="n"/>
      <c r="B14" s="113" t="n"/>
      <c r="C14" s="114" t="n"/>
      <c r="D14" s="114" t="n"/>
      <c r="E14" s="114" t="n"/>
      <c r="F14" s="114" t="n"/>
      <c r="G14" s="114" t="n"/>
      <c r="H14" s="114" t="n"/>
      <c r="I14" s="114" t="n"/>
      <c r="J14" s="114" t="n"/>
      <c r="K14" s="114" t="n"/>
      <c r="L14" s="115" t="n"/>
      <c r="M14" s="116" t="n"/>
      <c r="N14" s="117" t="n"/>
      <c r="O14" s="114" t="n"/>
      <c r="P14" s="114" t="n"/>
      <c r="Q14" s="114" t="n"/>
      <c r="R14" s="114" t="n"/>
      <c r="S14" s="114" t="n"/>
      <c r="T14" s="114" t="n"/>
      <c r="U14" s="114" t="n"/>
      <c r="V14" s="83" t="n"/>
      <c r="W14" s="118" t="n"/>
      <c r="X14" s="119" t="n"/>
      <c r="Y14" s="119" t="n"/>
      <c r="Z14" s="120" t="n"/>
      <c r="AA14" s="120" t="n"/>
      <c r="AB14" s="120" t="n"/>
      <c r="AC14" s="120" t="n"/>
      <c r="AD14" s="120" t="n"/>
      <c r="AE14" s="120" t="n"/>
      <c r="AF14" s="120" t="n"/>
      <c r="AG14" s="120" t="n"/>
      <c r="AH14" s="86" t="n"/>
      <c r="AI14" s="121" t="n"/>
      <c r="AJ14" s="113" t="n"/>
      <c r="AK14" s="114" t="n"/>
      <c r="AL14" s="122" t="n"/>
      <c r="AM14" s="114" t="n"/>
      <c r="AN14" s="123" t="n"/>
      <c r="AO14" s="114" t="n"/>
      <c r="AP14" s="124" t="n"/>
      <c r="AQ14" s="113" t="n"/>
      <c r="AR14" s="114" t="n"/>
      <c r="AS14" s="125" t="n"/>
      <c r="AT14" s="125" t="n"/>
      <c r="AU14" s="126" t="n"/>
      <c r="AV14" s="99" t="n"/>
      <c r="AW14" s="100" t="n"/>
    </row>
    <row r="15" ht="42" customHeight="1">
      <c r="A15" s="127" t="n"/>
      <c r="B15" s="128" t="n"/>
      <c r="C15" s="129" t="n"/>
      <c r="D15" s="130" t="n"/>
      <c r="E15" s="130" t="n"/>
      <c r="F15" s="131" t="n"/>
      <c r="G15" s="131" t="n"/>
      <c r="H15" s="131" t="n"/>
      <c r="I15" s="131" t="n"/>
      <c r="J15" s="131" t="n"/>
      <c r="K15" s="131" t="n"/>
      <c r="L15" s="130" t="n"/>
      <c r="M15" s="130" t="n"/>
      <c r="N15" s="130" t="n"/>
      <c r="O15" s="130" t="n"/>
      <c r="P15" s="130" t="n"/>
      <c r="Q15" s="130" t="n"/>
      <c r="R15" s="130" t="n"/>
      <c r="S15" s="130" t="n"/>
      <c r="T15" s="130" t="n"/>
      <c r="U15" s="130" t="n"/>
      <c r="V15" s="130" t="n"/>
      <c r="W15" s="132" t="n"/>
      <c r="X15" s="133" t="n"/>
      <c r="Y15" s="134" t="n"/>
      <c r="Z15" s="130" t="n"/>
      <c r="AA15" s="130" t="n"/>
      <c r="AB15" s="130" t="n"/>
      <c r="AC15" s="130" t="n"/>
      <c r="AD15" s="130" t="n"/>
      <c r="AE15" s="130" t="n"/>
      <c r="AF15" s="130" t="n"/>
      <c r="AG15" s="130" t="n"/>
      <c r="AH15" s="130" t="n"/>
      <c r="AI15" s="135" t="n"/>
      <c r="AJ15" s="136" t="n"/>
      <c r="AK15" s="137" t="n"/>
      <c r="AL15" s="138" t="n"/>
      <c r="AM15" s="138" t="n"/>
      <c r="AN15" s="139" t="n"/>
      <c r="AO15" s="136" t="n"/>
      <c r="AP15" s="140" t="n"/>
      <c r="AQ15" s="141" t="n"/>
      <c r="AR15" s="137" t="n"/>
      <c r="AS15" s="142" t="n"/>
      <c r="AT15" s="143" t="n"/>
      <c r="AU15" s="143" t="n"/>
      <c r="AV15" s="130" t="n"/>
      <c r="AW15" s="130" t="n"/>
    </row>
    <row r="16" ht="15.75" customHeight="1">
      <c r="A16" s="144" t="n"/>
      <c r="B16" s="145" t="n"/>
      <c r="C16" s="144" t="n"/>
      <c r="D16" s="146" t="n"/>
      <c r="E16" s="146" t="n"/>
      <c r="F16" s="144" t="n"/>
      <c r="G16" s="144" t="n"/>
      <c r="H16" s="144" t="n"/>
      <c r="I16" s="144" t="n"/>
      <c r="J16" s="144" t="n"/>
      <c r="K16" s="144" t="n"/>
      <c r="L16" s="144" t="n"/>
      <c r="M16" s="144" t="n"/>
      <c r="N16" s="144" t="n"/>
      <c r="O16" s="147" t="n"/>
      <c r="P16" s="148" t="n"/>
      <c r="Q16" s="149" t="n"/>
      <c r="R16" s="144" t="n"/>
      <c r="S16" s="144" t="n"/>
      <c r="T16" s="144" t="n"/>
      <c r="U16" s="150" t="n"/>
      <c r="V16" s="151" t="n"/>
      <c r="W16" s="144" t="n"/>
      <c r="X16" s="152" t="n"/>
      <c r="Y16" s="147" t="n"/>
      <c r="Z16" s="147" t="n"/>
      <c r="AA16" s="153" t="n"/>
      <c r="AB16" s="153" t="n"/>
      <c r="AC16" s="153" t="n"/>
      <c r="AD16" s="153" t="n"/>
      <c r="AE16" s="153" t="n"/>
      <c r="AF16" s="153" t="n"/>
      <c r="AG16" s="153" t="n"/>
      <c r="AH16" s="153" t="n"/>
      <c r="AI16" s="153" t="n"/>
      <c r="AJ16" s="144" t="n"/>
      <c r="AK16" s="144" t="n"/>
      <c r="AL16" s="154" t="n"/>
      <c r="AM16" s="154" t="n"/>
      <c r="AN16" s="155" t="n"/>
      <c r="AO16" s="144" t="n"/>
      <c r="AP16" s="144" t="n"/>
      <c r="AQ16" s="144" t="n"/>
      <c r="AR16" s="144" t="n"/>
      <c r="AS16" s="154" t="n"/>
      <c r="AT16" s="156" t="n"/>
      <c r="AU16" s="157" t="n"/>
      <c r="AW16" s="158" t="n"/>
    </row>
  </sheetData>
  <mergeCells count="32">
    <mergeCell ref="T1:T3"/>
    <mergeCell ref="AI1:AI4"/>
    <mergeCell ref="AM2:AN2"/>
    <mergeCell ref="AO2:AP2"/>
    <mergeCell ref="AJ2:AK2"/>
    <mergeCell ref="V1:V4"/>
    <mergeCell ref="AD1:AE3"/>
    <mergeCell ref="AT3:AU3"/>
    <mergeCell ref="U1:U3"/>
    <mergeCell ref="AB1:AC3"/>
    <mergeCell ref="X1:Y4"/>
    <mergeCell ref="AS1:AU2"/>
    <mergeCell ref="S1:S3"/>
    <mergeCell ref="W1:W4"/>
    <mergeCell ref="AM1:AN1"/>
    <mergeCell ref="R1:R3"/>
    <mergeCell ref="AQ2:AR2"/>
    <mergeCell ref="K1:K3"/>
    <mergeCell ref="H1:H3"/>
    <mergeCell ref="AO1:AP1"/>
    <mergeCell ref="AQ1:AR1"/>
    <mergeCell ref="Z1:AA3"/>
    <mergeCell ref="AF1:AG3"/>
    <mergeCell ref="I1:J1"/>
    <mergeCell ref="O1:Q4"/>
    <mergeCell ref="C1:C3"/>
    <mergeCell ref="AJ1:AK1"/>
    <mergeCell ref="A1:B4"/>
    <mergeCell ref="AH1:AH3"/>
    <mergeCell ref="F1:G1"/>
    <mergeCell ref="L1:N4"/>
    <mergeCell ref="D1:E3"/>
  </mergeCells>
  <pageMargins left="0" right="0" top="0" bottom="0" header="0" footer="0"/>
  <pageSetup orientation="landscape" paperSize="8" scale="81"/>
  <headerFooter>
    <oddHeader>&amp;C&amp;"-,粗體"&amp;22 地號清冊</oddHeader>
    <oddFooter>&amp;R製作日期：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Jacky</dc:creator>
  <dc:title xmlns:dc="http://purl.org/dc/elements/1.1/">權屬+分配表</dc:title>
  <dcterms:created xmlns:dcterms="http://purl.org/dc/terms/" xmlns:xsi="http://www.w3.org/2001/XMLSchema-instance" xsi:type="dcterms:W3CDTF">2026-10-14T09:32:22Z</dcterms:created>
  <dcterms:modified xmlns:dcterms="http://purl.org/dc/terms/" xmlns:xsi="http://www.w3.org/2001/XMLSchema-instance" xsi:type="dcterms:W3CDTF">2026-10-14T09:32:22Z</dcterms:modified>
  <cp:lastModifiedBy>Jacky</cp:lastModifiedBy>
</cp:coreProperties>
</file>